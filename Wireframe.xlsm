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 Projects\wealth-distribution\"/>
    </mc:Choice>
  </mc:AlternateContent>
  <xr:revisionPtr revIDLastSave="0" documentId="13_ncr:1_{A7882180-6511-4BAD-93B3-EB9A7DF63E63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Data" sheetId="1" r:id="rId1"/>
    <sheet name="Wireframe" sheetId="2" r:id="rId2"/>
    <sheet name="Help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1" l="1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5" i="2"/>
  <c r="G6" i="1"/>
  <c r="L1" i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5" i="2"/>
  <c r="G6" i="2"/>
  <c r="G7" i="2"/>
  <c r="G5" i="2"/>
  <c r="B4" i="3"/>
  <c r="B2" i="3"/>
  <c r="B3" i="3" s="1"/>
  <c r="B5" i="3" s="1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5" i="2"/>
  <c r="C23" i="1"/>
  <c r="E4" i="2" l="1"/>
  <c r="B4" i="2"/>
  <c r="C22" i="2"/>
  <c r="C18" i="2"/>
  <c r="C24" i="2"/>
  <c r="C23" i="2"/>
  <c r="C13" i="2"/>
  <c r="C21" i="2"/>
  <c r="C20" i="2"/>
  <c r="C19" i="2"/>
  <c r="C17" i="2"/>
  <c r="C16" i="2"/>
  <c r="C15" i="2"/>
  <c r="C14" i="2"/>
  <c r="C12" i="2"/>
  <c r="C11" i="2"/>
  <c r="C10" i="2"/>
  <c r="C9" i="2"/>
  <c r="C8" i="2"/>
  <c r="C7" i="2"/>
  <c r="C6" i="2"/>
  <c r="C5" i="2"/>
  <c r="I3" i="1" l="1"/>
  <c r="J3" i="1" s="1"/>
  <c r="H6" i="2" s="1"/>
  <c r="H5" i="2"/>
  <c r="C4" i="2"/>
  <c r="H7" i="2" l="1"/>
  <c r="H4" i="2" s="1"/>
  <c r="I4" i="2" s="1"/>
</calcChain>
</file>

<file path=xl/sharedStrings.xml><?xml version="1.0" encoding="utf-8"?>
<sst xmlns="http://schemas.openxmlformats.org/spreadsheetml/2006/main" count="91" uniqueCount="89">
  <si>
    <r>
      <t>1</t>
    </r>
    <r>
      <rPr>
        <sz val="11"/>
        <color rgb="FF696969"/>
        <rFont val="TimesModern-Regular"/>
      </rPr>
      <t> (3)</t>
    </r>
  </si>
  <si>
    <t>Sri and Gopi Hinduja and family</t>
  </si>
  <si>
    <t>Industry and finance</t>
  </si>
  <si>
    <r>
      <t>2</t>
    </r>
    <r>
      <rPr>
        <sz val="11"/>
        <color rgb="FF696969"/>
        <rFont val="TimesModern-Regular"/>
      </rPr>
      <t> (4)</t>
    </r>
  </si>
  <si>
    <t>Sir James Dyson and family</t>
  </si>
  <si>
    <t>Household goods and technology: Dyson</t>
  </si>
  <si>
    <r>
      <t>3</t>
    </r>
    <r>
      <rPr>
        <sz val="11"/>
        <color rgb="FF696969"/>
        <rFont val="TimesModern-Regular"/>
      </rPr>
      <t> (2)</t>
    </r>
  </si>
  <si>
    <t>David and Simon Reuben and family</t>
  </si>
  <si>
    <t>Property and internet</t>
  </si>
  <si>
    <r>
      <t>4</t>
    </r>
    <r>
      <rPr>
        <sz val="11"/>
        <color rgb="FF696969"/>
        <rFont val="TimesModern-Regular"/>
      </rPr>
      <t> (1)</t>
    </r>
  </si>
  <si>
    <t>Sir Leonard Blavatnik</t>
  </si>
  <si>
    <t>Investment, music and media</t>
  </si>
  <si>
    <r>
      <t>5</t>
    </r>
    <r>
      <rPr>
        <sz val="11"/>
        <color rgb="FF696969"/>
        <rFont val="TimesModern-Regular"/>
      </rPr>
      <t> (33)</t>
    </r>
  </si>
  <si>
    <t>Guillaume Pousaz</t>
  </si>
  <si>
    <t>Online payments: Checkout.com</t>
  </si>
  <si>
    <r>
      <t>6</t>
    </r>
    <r>
      <rPr>
        <sz val="11"/>
        <color rgb="FF696969"/>
        <rFont val="TimesModern-Regular"/>
      </rPr>
      <t> (5)</t>
    </r>
  </si>
  <si>
    <t>Lakshmi Mittal and family</t>
  </si>
  <si>
    <t>Steel: ArcelorMittal</t>
  </si>
  <si>
    <r>
      <t>7</t>
    </r>
    <r>
      <rPr>
        <sz val="11"/>
        <color rgb="FF696969"/>
        <rFont val="TimesModern-Regular"/>
      </rPr>
      <t> (10)</t>
    </r>
  </si>
  <si>
    <t>Guy, George, Alannah and Galen Weston and family</t>
  </si>
  <si>
    <t>Retailing</t>
  </si>
  <si>
    <r>
      <t>8</t>
    </r>
    <r>
      <rPr>
        <sz val="11"/>
        <color rgb="FF696969"/>
        <rFont val="TimesModern-Regular"/>
      </rPr>
      <t> (7)</t>
    </r>
  </si>
  <si>
    <t>Kirsten and Jorn Rausing</t>
  </si>
  <si>
    <t>Inheritance and investment</t>
  </si>
  <si>
    <r>
      <t>9</t>
    </r>
    <r>
      <rPr>
        <sz val="11"/>
        <color rgb="FF696969"/>
        <rFont val="TimesModern-Regular"/>
      </rPr>
      <t> (9)</t>
    </r>
  </si>
  <si>
    <t>Charlene de Carvalho-Heineken and Michel de Carvalho</t>
  </si>
  <si>
    <t>Inheritance, brewing and banking</t>
  </si>
  <si>
    <r>
      <t>10=</t>
    </r>
    <r>
      <rPr>
        <sz val="11"/>
        <color rgb="FF696969"/>
        <rFont val="TimesModern-Regular"/>
      </rPr>
      <t> (18)</t>
    </r>
  </si>
  <si>
    <t>Michael Platt</t>
  </si>
  <si>
    <t>Hedge fund</t>
  </si>
  <si>
    <r>
      <t>10=</t>
    </r>
    <r>
      <rPr>
        <sz val="11"/>
        <color rgb="FF696969"/>
        <rFont val="TimesModern-Regular"/>
      </rPr>
      <t> (6)</t>
    </r>
  </si>
  <si>
    <t>Alisher Usmanov</t>
  </si>
  <si>
    <t>Mining and investment</t>
  </si>
  <si>
    <r>
      <t>12</t>
    </r>
    <r>
      <rPr>
        <sz val="11"/>
        <color rgb="FF696969"/>
        <rFont val="TimesModern-Regular"/>
      </rPr>
      <t> (12)</t>
    </r>
  </si>
  <si>
    <t>The Duke of Westminster and the Grosvenor family</t>
  </si>
  <si>
    <t>Property</t>
  </si>
  <si>
    <r>
      <t>13</t>
    </r>
    <r>
      <rPr>
        <sz val="11"/>
        <color rgb="FF696969"/>
        <rFont val="TimesModern-Regular"/>
      </rPr>
      <t> (21)</t>
    </r>
  </si>
  <si>
    <t>Barnaby and Merlin Swire and family</t>
  </si>
  <si>
    <t>Industry, transport and property</t>
  </si>
  <si>
    <r>
      <t>14</t>
    </r>
    <r>
      <rPr>
        <sz val="11"/>
        <color rgb="FF696969"/>
        <rFont val="TimesModern-Regular"/>
      </rPr>
      <t> (13)</t>
    </r>
  </si>
  <si>
    <t>Marit, Lisbet, Sigrid and Hans Rausing</t>
  </si>
  <si>
    <t>Inheritance: Tetra Laval</t>
  </si>
  <si>
    <r>
      <t>15</t>
    </r>
    <r>
      <rPr>
        <sz val="11"/>
        <color rgb="FF696969"/>
        <rFont val="TimesModern-Regular"/>
      </rPr>
      <t> (15)</t>
    </r>
  </si>
  <si>
    <t>Anil Agarwal</t>
  </si>
  <si>
    <t>Mining: Vedanta Resources</t>
  </si>
  <si>
    <r>
      <t>16</t>
    </r>
    <r>
      <rPr>
        <sz val="11"/>
        <color rgb="FF696969"/>
        <rFont val="TimesModern-Regular"/>
      </rPr>
      <t> (17)</t>
    </r>
  </si>
  <si>
    <t>Denise, John and Peter Coates</t>
  </si>
  <si>
    <t>Gambling: Bet365</t>
  </si>
  <si>
    <r>
      <t>17</t>
    </r>
    <r>
      <rPr>
        <sz val="11"/>
        <color rgb="FF696969"/>
        <rFont val="TimesModern-Regular"/>
      </rPr>
      <t> (19)</t>
    </r>
  </si>
  <si>
    <t>John Fredriksen and family</t>
  </si>
  <si>
    <t>Shipping and oil services</t>
  </si>
  <si>
    <r>
      <t>18</t>
    </r>
    <r>
      <rPr>
        <sz val="11"/>
        <color rgb="FF696969"/>
        <rFont val="TimesModern-Regular"/>
      </rPr>
      <t> (120=)</t>
    </r>
  </si>
  <si>
    <t>Christoph Henkel and family</t>
  </si>
  <si>
    <t>Chemicals: Henkel</t>
  </si>
  <si>
    <r>
      <t>19</t>
    </r>
    <r>
      <rPr>
        <sz val="11"/>
        <color rgb="FF696969"/>
        <rFont val="TimesModern-Regular"/>
      </rPr>
      <t> (11)</t>
    </r>
  </si>
  <si>
    <t>Mikhail Fridman</t>
  </si>
  <si>
    <t>Industry: Alfa Group and Letter One</t>
  </si>
  <si>
    <r>
      <t>20</t>
    </r>
    <r>
      <rPr>
        <sz val="11"/>
        <color rgb="FF696969"/>
        <rFont val="TimesModern-Regular"/>
      </rPr>
      <t> (48)</t>
    </r>
  </si>
  <si>
    <t>Moshe Kantor</t>
  </si>
  <si>
    <t>Chemicals: Acron</t>
  </si>
  <si>
    <t>Billions</t>
  </si>
  <si>
    <t>Wealth Inequality in the UK</t>
  </si>
  <si>
    <t>Name</t>
  </si>
  <si>
    <t>Total (top 20)</t>
  </si>
  <si>
    <t xml:space="preserve">Datetime start of year: </t>
  </si>
  <si>
    <t>Datetime now:</t>
  </si>
  <si>
    <t>Date diff:</t>
  </si>
  <si>
    <t>Seconds in a day:</t>
  </si>
  <si>
    <t>Second since start of year:</t>
  </si>
  <si>
    <t>Interest rate:</t>
  </si>
  <si>
    <t>Worth (2022 - £B)</t>
  </si>
  <si>
    <t>Response time:</t>
  </si>
  <si>
    <t>&gt;&gt;&gt;</t>
  </si>
  <si>
    <t>Poverty</t>
  </si>
  <si>
    <t>Children</t>
  </si>
  <si>
    <t>Working age adults</t>
  </si>
  <si>
    <t>Pension age adults</t>
  </si>
  <si>
    <t xml:space="preserve">WEALTH  </t>
  </si>
  <si>
    <t>POVERTY</t>
  </si>
  <si>
    <t>Category</t>
  </si>
  <si>
    <t>Population</t>
  </si>
  <si>
    <t>% change</t>
  </si>
  <si>
    <t>REDISTRIBUTE</t>
  </si>
  <si>
    <t>Wealth</t>
  </si>
  <si>
    <t>Redistribution</t>
  </si>
  <si>
    <t>Total</t>
  </si>
  <si>
    <t>Every billion removes 100000 from proverty (£10k each)</t>
  </si>
  <si>
    <t>Growth since start of year (4% £)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</si>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</sst>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0">
    <font>
      <sz val="11"/>
      <color theme="1"/>
      <name val="Calibri"/>
      <family val="2"/>
      <scheme val="minor"/>
    </font>
    <font>
      <sz val="11"/>
      <color rgb="FF1D1D1B"/>
      <name val="TimesModern-Regular"/>
    </font>
    <font>
      <sz val="11"/>
      <color rgb="FF696969"/>
      <name val="TimesModern-Regula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rgb="FFE8E8E8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1" fillId="2" borderId="1" xfId="0" applyFont="1" applyFill="1" applyBorder="1" applyAlignment="1">
      <alignment horizontal="left" vertical="center" wrapText="1" indent="1"/>
    </xf>
    <xf numFmtId="0" fontId="3" fillId="2" borderId="1" xfId="1" applyFill="1" applyBorder="1" applyAlignment="1">
      <alignment horizontal="left" vertical="center" wrapText="1" indent="1"/>
    </xf>
    <xf numFmtId="0" fontId="1" fillId="0" borderId="1" xfId="0" applyFont="1" applyBorder="1" applyAlignment="1">
      <alignment horizontal="left" vertical="center" wrapText="1" indent="1"/>
    </xf>
    <xf numFmtId="0" fontId="3" fillId="0" borderId="1" xfId="1" applyBorder="1" applyAlignment="1">
      <alignment horizontal="left" vertical="center" wrapText="1" indent="1"/>
    </xf>
    <xf numFmtId="2" fontId="1" fillId="2" borderId="1" xfId="0" applyNumberFormat="1" applyFont="1" applyFill="1" applyBorder="1" applyAlignment="1">
      <alignment horizontal="left" vertical="center" wrapText="1" indent="1"/>
    </xf>
    <xf numFmtId="2" fontId="1" fillId="0" borderId="1" xfId="0" applyNumberFormat="1" applyFont="1" applyBorder="1" applyAlignment="1">
      <alignment horizontal="left" vertical="center" wrapText="1" indent="1"/>
    </xf>
    <xf numFmtId="2" fontId="0" fillId="0" borderId="0" xfId="0" applyNumberFormat="1"/>
    <xf numFmtId="22" fontId="0" fillId="0" borderId="0" xfId="0" applyNumberFormat="1"/>
    <xf numFmtId="3" fontId="0" fillId="0" borderId="0" xfId="0" applyNumberFormat="1"/>
    <xf numFmtId="164" fontId="0" fillId="0" borderId="0" xfId="0" applyNumberFormat="1"/>
    <xf numFmtId="0" fontId="5" fillId="0" borderId="0" xfId="0" applyFont="1"/>
    <xf numFmtId="0" fontId="5" fillId="3" borderId="0" xfId="0" applyFont="1" applyFill="1"/>
    <xf numFmtId="0" fontId="0" fillId="0" borderId="0" xfId="0" applyAlignment="1">
      <alignment horizontal="center"/>
    </xf>
    <xf numFmtId="0" fontId="7" fillId="4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5" fillId="5" borderId="0" xfId="0" applyFont="1" applyFill="1"/>
    <xf numFmtId="0" fontId="4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/>
    </xf>
    <xf numFmtId="0" fontId="6" fillId="3" borderId="0" xfId="0" applyFont="1" applyFill="1" applyAlignment="1">
      <alignment horizontal="center"/>
    </xf>
    <xf numFmtId="164" fontId="5" fillId="0" borderId="0" xfId="0" applyNumberFormat="1" applyFont="1"/>
    <xf numFmtId="3" fontId="5" fillId="0" borderId="0" xfId="0" applyNumberFormat="1" applyFont="1"/>
    <xf numFmtId="2" fontId="5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hetimes.co.uk/article/kirsten-jorn-rausing-net-worth-sunday-times-rich-list-gsgxd5d3t" TargetMode="External"/><Relationship Id="rId13" Type="http://schemas.openxmlformats.org/officeDocument/2006/relationships/hyperlink" Target="https://www.thetimes.co.uk/article/denise-john-peter-coates-net-worth-sunday-times-rich-list-h6pjwxwlt" TargetMode="External"/><Relationship Id="rId18" Type="http://schemas.openxmlformats.org/officeDocument/2006/relationships/printerSettings" Target="../printerSettings/printerSettings1.bin"/><Relationship Id="rId3" Type="http://schemas.openxmlformats.org/officeDocument/2006/relationships/hyperlink" Target="https://www.thetimes.co.uk/article/david-simon-reuben-net-worth-sunday-times-rich-list-brj6fz2wz" TargetMode="External"/><Relationship Id="rId7" Type="http://schemas.openxmlformats.org/officeDocument/2006/relationships/hyperlink" Target="https://www.thetimes.co.uk/article/weston-family-net-worth-sunday-times-rich-list-8ln50rjp6" TargetMode="External"/><Relationship Id="rId12" Type="http://schemas.openxmlformats.org/officeDocument/2006/relationships/hyperlink" Target="https://www.thetimes.co.uk/article/marit-lisbet-sigrid-hans-rausing-net-worth-sunday-times-rich-list-t5xf3w2dn" TargetMode="External"/><Relationship Id="rId17" Type="http://schemas.openxmlformats.org/officeDocument/2006/relationships/hyperlink" Target="https://www.thetimes.co.uk/article/moshe-kantor-net-worth-sunday-times-rich-list-zd3dp8jpm" TargetMode="External"/><Relationship Id="rId2" Type="http://schemas.openxmlformats.org/officeDocument/2006/relationships/hyperlink" Target="https://www.thetimes.co.uk/article/sunday-times-rich-list-sir-james-dyson-singapore-brexit-wealth-wfkqccw97" TargetMode="External"/><Relationship Id="rId16" Type="http://schemas.openxmlformats.org/officeDocument/2006/relationships/hyperlink" Target="https://www.thetimes.co.uk/article/mikhail-fridman-net-worth-sunday-times-rich-list-rwzl0xg78" TargetMode="External"/><Relationship Id="rId1" Type="http://schemas.openxmlformats.org/officeDocument/2006/relationships/hyperlink" Target="https://www.thetimes.co.uk/article/sri-gopi-hinduja-net-worth-sunday-times-rich-list-zrjwlppj5" TargetMode="External"/><Relationship Id="rId6" Type="http://schemas.openxmlformats.org/officeDocument/2006/relationships/hyperlink" Target="https://www.thetimes.co.uk/article/lakshmi-mittal-net-worth-sunday-times-rich-list-tpv3vl628" TargetMode="External"/><Relationship Id="rId11" Type="http://schemas.openxmlformats.org/officeDocument/2006/relationships/hyperlink" Target="https://www.thetimes.co.uk/article/duke-of-westminster-net-worth-sunday-times-rich-list-bqbqpjlqf" TargetMode="External"/><Relationship Id="rId5" Type="http://schemas.openxmlformats.org/officeDocument/2006/relationships/hyperlink" Target="https://www.thetimes.co.uk/article/guillaume-pousaz-net-worth-sunday-times-rich-list-0dcf09vgv" TargetMode="External"/><Relationship Id="rId15" Type="http://schemas.openxmlformats.org/officeDocument/2006/relationships/hyperlink" Target="https://www.thetimes.co.uk/article/christoph-henkel-family-net-worth-sunday-times-rich-list-d535fhtkb" TargetMode="External"/><Relationship Id="rId10" Type="http://schemas.openxmlformats.org/officeDocument/2006/relationships/hyperlink" Target="https://www.thetimes.co.uk/article/alisher-usmanov-net-worth-sunday-times-rich-list-3bwsf09f6" TargetMode="External"/><Relationship Id="rId4" Type="http://schemas.openxmlformats.org/officeDocument/2006/relationships/hyperlink" Target="https://www.thetimes.co.uk/article/leonard-blavatnik-net-worth-sunday-times-rich-list-0q73bzjwk" TargetMode="External"/><Relationship Id="rId9" Type="http://schemas.openxmlformats.org/officeDocument/2006/relationships/hyperlink" Target="https://www.thetimes.co.uk/article/charlene-de-carvalho-heineken-net-worth-sunday-times-rich-list-w3s2bpw66" TargetMode="External"/><Relationship Id="rId14" Type="http://schemas.openxmlformats.org/officeDocument/2006/relationships/hyperlink" Target="https://www.thetimes.co.uk/article/john-fredriksen-family-net-worth-sunday-times-rich-list-k8gq6r3x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3"/>
  <sheetViews>
    <sheetView workbookViewId="0">
      <selection activeCell="G10" sqref="G10"/>
    </sheetView>
  </sheetViews>
  <sheetFormatPr defaultColWidth="28.5703125" defaultRowHeight="43.5" customHeight="1"/>
  <cols>
    <col min="8" max="8" width="17.140625" customWidth="1"/>
    <col min="9" max="9" width="22.140625" customWidth="1"/>
  </cols>
  <sheetData>
    <row r="1" spans="1:12" ht="43.5" customHeight="1">
      <c r="A1" t="s">
        <v>83</v>
      </c>
      <c r="F1" t="s">
        <v>73</v>
      </c>
      <c r="I1" t="s">
        <v>84</v>
      </c>
      <c r="L1">
        <f>1000000000/10000</f>
        <v>100000</v>
      </c>
    </row>
    <row r="2" spans="1:12" ht="43.5" customHeight="1" thickBot="1">
      <c r="C2" t="s">
        <v>60</v>
      </c>
      <c r="I2" t="s">
        <v>60</v>
      </c>
      <c r="J2" t="s">
        <v>86</v>
      </c>
    </row>
    <row r="3" spans="1:12" ht="43.5" customHeight="1" thickBot="1">
      <c r="A3" s="1" t="s">
        <v>0</v>
      </c>
      <c r="B3" s="2" t="s">
        <v>1</v>
      </c>
      <c r="C3" s="5">
        <v>28.472000000000001</v>
      </c>
      <c r="D3" s="1" t="s">
        <v>2</v>
      </c>
      <c r="F3" t="s">
        <v>74</v>
      </c>
      <c r="G3" s="9">
        <v>4300000</v>
      </c>
      <c r="I3" s="9">
        <f>Wireframe!E4*1000000000</f>
        <v>133205499999.99997</v>
      </c>
      <c r="J3">
        <f>I3/10000</f>
        <v>13320549.999999996</v>
      </c>
    </row>
    <row r="4" spans="1:12" ht="43.5" customHeight="1" thickBot="1">
      <c r="A4" s="3" t="s">
        <v>3</v>
      </c>
      <c r="B4" s="4" t="s">
        <v>4</v>
      </c>
      <c r="C4" s="6">
        <v>23</v>
      </c>
      <c r="D4" s="3" t="s">
        <v>5</v>
      </c>
      <c r="F4" t="s">
        <v>75</v>
      </c>
      <c r="G4" s="9">
        <v>8100000</v>
      </c>
    </row>
    <row r="5" spans="1:12" ht="43.5" customHeight="1" thickBot="1">
      <c r="A5" s="1" t="s">
        <v>6</v>
      </c>
      <c r="B5" s="2" t="s">
        <v>7</v>
      </c>
      <c r="C5" s="5">
        <v>22.265000000000001</v>
      </c>
      <c r="D5" s="1" t="s">
        <v>8</v>
      </c>
      <c r="F5" t="s">
        <v>76</v>
      </c>
      <c r="G5" s="9">
        <v>2100000</v>
      </c>
    </row>
    <row r="6" spans="1:12" ht="43.5" customHeight="1" thickBot="1">
      <c r="A6" s="3" t="s">
        <v>9</v>
      </c>
      <c r="B6" s="4" t="s">
        <v>10</v>
      </c>
      <c r="C6" s="6">
        <v>20</v>
      </c>
      <c r="D6" s="3" t="s">
        <v>11</v>
      </c>
      <c r="F6" t="s">
        <v>88</v>
      </c>
      <c r="G6" s="9">
        <f>SUM(G3:G5)</f>
        <v>14500000</v>
      </c>
    </row>
    <row r="7" spans="1:12" ht="43.5" customHeight="1" thickBot="1">
      <c r="A7" s="1" t="s">
        <v>12</v>
      </c>
      <c r="B7" s="2" t="s">
        <v>13</v>
      </c>
      <c r="C7" s="5">
        <v>19.259</v>
      </c>
      <c r="D7" s="1" t="s">
        <v>14</v>
      </c>
    </row>
    <row r="8" spans="1:12" ht="43.5" customHeight="1" thickBot="1">
      <c r="A8" s="3" t="s">
        <v>15</v>
      </c>
      <c r="B8" s="4" t="s">
        <v>16</v>
      </c>
      <c r="C8" s="6">
        <v>17</v>
      </c>
      <c r="D8" s="3" t="s">
        <v>17</v>
      </c>
    </row>
    <row r="9" spans="1:12" ht="43.5" customHeight="1" thickBot="1">
      <c r="A9" s="1" t="s">
        <v>18</v>
      </c>
      <c r="B9" s="2" t="s">
        <v>19</v>
      </c>
      <c r="C9" s="5">
        <v>13.5</v>
      </c>
      <c r="D9" s="1" t="s">
        <v>20</v>
      </c>
      <c r="G9">
        <f>133000000000/10000</f>
        <v>13300000</v>
      </c>
    </row>
    <row r="10" spans="1:12" ht="43.5" customHeight="1" thickBot="1">
      <c r="A10" s="3" t="s">
        <v>21</v>
      </c>
      <c r="B10" s="4" t="s">
        <v>22</v>
      </c>
      <c r="C10" s="6">
        <v>12</v>
      </c>
      <c r="D10" s="3" t="s">
        <v>23</v>
      </c>
    </row>
    <row r="11" spans="1:12" ht="43.5" customHeight="1" thickBot="1">
      <c r="A11" s="1" t="s">
        <v>24</v>
      </c>
      <c r="B11" s="2" t="s">
        <v>25</v>
      </c>
      <c r="C11" s="5">
        <v>11.420999999999999</v>
      </c>
      <c r="D11" s="1" t="s">
        <v>26</v>
      </c>
    </row>
    <row r="12" spans="1:12" ht="43.5" customHeight="1" thickBot="1">
      <c r="A12" s="3" t="s">
        <v>27</v>
      </c>
      <c r="B12" s="3" t="s">
        <v>28</v>
      </c>
      <c r="C12" s="6">
        <v>10</v>
      </c>
      <c r="D12" s="3" t="s">
        <v>29</v>
      </c>
    </row>
    <row r="13" spans="1:12" ht="43.5" customHeight="1" thickBot="1">
      <c r="A13" s="1" t="s">
        <v>30</v>
      </c>
      <c r="B13" s="2" t="s">
        <v>31</v>
      </c>
      <c r="C13" s="5">
        <v>10</v>
      </c>
      <c r="D13" s="1" t="s">
        <v>32</v>
      </c>
    </row>
    <row r="14" spans="1:12" ht="43.5" customHeight="1" thickBot="1">
      <c r="A14" s="3" t="s">
        <v>33</v>
      </c>
      <c r="B14" s="4" t="s">
        <v>34</v>
      </c>
      <c r="C14" s="6">
        <v>9.7260000000000009</v>
      </c>
      <c r="D14" s="3" t="s">
        <v>35</v>
      </c>
    </row>
    <row r="15" spans="1:12" ht="43.5" customHeight="1" thickBot="1">
      <c r="A15" s="1" t="s">
        <v>36</v>
      </c>
      <c r="B15" s="1" t="s">
        <v>37</v>
      </c>
      <c r="C15" s="5">
        <v>9.6</v>
      </c>
      <c r="D15" s="1" t="s">
        <v>38</v>
      </c>
    </row>
    <row r="16" spans="1:12" ht="43.5" customHeight="1" thickBot="1">
      <c r="A16" s="3" t="s">
        <v>39</v>
      </c>
      <c r="B16" s="4" t="s">
        <v>40</v>
      </c>
      <c r="C16" s="6">
        <v>9.49</v>
      </c>
      <c r="D16" s="3" t="s">
        <v>41</v>
      </c>
    </row>
    <row r="17" spans="1:4" ht="43.5" customHeight="1" thickBot="1">
      <c r="A17" s="1" t="s">
        <v>42</v>
      </c>
      <c r="B17" s="1" t="s">
        <v>43</v>
      </c>
      <c r="C17" s="5">
        <v>9.1999999999999993</v>
      </c>
      <c r="D17" s="1" t="s">
        <v>44</v>
      </c>
    </row>
    <row r="18" spans="1:4" ht="43.5" customHeight="1" thickBot="1">
      <c r="A18" s="3" t="s">
        <v>45</v>
      </c>
      <c r="B18" s="4" t="s">
        <v>46</v>
      </c>
      <c r="C18" s="6">
        <v>8.6370000000000005</v>
      </c>
      <c r="D18" s="3" t="s">
        <v>47</v>
      </c>
    </row>
    <row r="19" spans="1:4" ht="43.5" customHeight="1" thickBot="1">
      <c r="A19" s="1" t="s">
        <v>48</v>
      </c>
      <c r="B19" s="2" t="s">
        <v>49</v>
      </c>
      <c r="C19" s="5">
        <v>8.3109999999999999</v>
      </c>
      <c r="D19" s="1" t="s">
        <v>50</v>
      </c>
    </row>
    <row r="20" spans="1:4" ht="43.5" customHeight="1" thickBot="1">
      <c r="A20" s="3" t="s">
        <v>51</v>
      </c>
      <c r="B20" s="4" t="s">
        <v>52</v>
      </c>
      <c r="C20" s="6">
        <v>8.3079999999999998</v>
      </c>
      <c r="D20" s="3" t="s">
        <v>53</v>
      </c>
    </row>
    <row r="21" spans="1:4" ht="43.5" customHeight="1" thickBot="1">
      <c r="A21" s="1" t="s">
        <v>54</v>
      </c>
      <c r="B21" s="2" t="s">
        <v>55</v>
      </c>
      <c r="C21" s="5">
        <v>8.2219999999999995</v>
      </c>
      <c r="D21" s="1" t="s">
        <v>56</v>
      </c>
    </row>
    <row r="22" spans="1:4" ht="43.5" customHeight="1">
      <c r="A22" s="3" t="s">
        <v>57</v>
      </c>
      <c r="B22" s="4" t="s">
        <v>58</v>
      </c>
      <c r="C22" s="6">
        <v>8</v>
      </c>
      <c r="D22" s="3" t="s">
        <v>59</v>
      </c>
    </row>
    <row r="23" spans="1:4" ht="43.5" customHeight="1">
      <c r="C23" s="7">
        <f>SUM(C3:C22)</f>
        <v>266.41099999999994</v>
      </c>
    </row>
  </sheetData>
  <hyperlinks>
    <hyperlink ref="B3" r:id="rId1" display="https://www.thetimes.co.uk/article/sri-gopi-hinduja-net-worth-sunday-times-rich-list-zrjwlppj5" xr:uid="{8896BF4B-FB48-4160-94C1-44A13E1AC7A1}"/>
    <hyperlink ref="B4" r:id="rId2" display="https://www.thetimes.co.uk/article/sunday-times-rich-list-sir-james-dyson-singapore-brexit-wealth-wfkqccw97" xr:uid="{3534D211-61DC-460F-8622-2A72D873BEBC}"/>
    <hyperlink ref="B5" r:id="rId3" display="https://www.thetimes.co.uk/article/david-simon-reuben-net-worth-sunday-times-rich-list-brj6fz2wz" xr:uid="{3E1ABD15-219F-45A1-99AF-57D3AAE32252}"/>
    <hyperlink ref="B6" r:id="rId4" display="https://www.thetimes.co.uk/article/leonard-blavatnik-net-worth-sunday-times-rich-list-0q73bzjwk" xr:uid="{F2567DF4-86B8-4734-B4E3-7AF08CDABFC8}"/>
    <hyperlink ref="B7" r:id="rId5" display="https://www.thetimes.co.uk/article/guillaume-pousaz-net-worth-sunday-times-rich-list-0dcf09vgv" xr:uid="{0CEA9EC5-8B4E-4E2E-B996-BE0BD1D72C24}"/>
    <hyperlink ref="B8" r:id="rId6" display="https://www.thetimes.co.uk/article/lakshmi-mittal-net-worth-sunday-times-rich-list-tpv3vl628" xr:uid="{7357CBBC-6E04-4536-98E4-22360987FE18}"/>
    <hyperlink ref="B9" r:id="rId7" display="https://www.thetimes.co.uk/article/weston-family-net-worth-sunday-times-rich-list-8ln50rjp6" xr:uid="{DBE22D5A-D24A-4C6B-B88C-1EA594B16ED0}"/>
    <hyperlink ref="B10" r:id="rId8" display="https://www.thetimes.co.uk/article/kirsten-jorn-rausing-net-worth-sunday-times-rich-list-gsgxd5d3t" xr:uid="{A79A747B-9743-40D4-9B4A-91F4A9F05947}"/>
    <hyperlink ref="B11" r:id="rId9" display="https://www.thetimes.co.uk/article/charlene-de-carvalho-heineken-net-worth-sunday-times-rich-list-w3s2bpw66" xr:uid="{69F375D4-753F-4EAF-8A37-1CC7B2882D40}"/>
    <hyperlink ref="B13" r:id="rId10" display="https://www.thetimes.co.uk/article/alisher-usmanov-net-worth-sunday-times-rich-list-3bwsf09f6" xr:uid="{13FFD181-675F-418B-8621-B2749E93AEED}"/>
    <hyperlink ref="B14" r:id="rId11" display="https://www.thetimes.co.uk/article/duke-of-westminster-net-worth-sunday-times-rich-list-bqbqpjlqf" xr:uid="{E73A2075-0291-45EE-80F5-BC3F6901C82C}"/>
    <hyperlink ref="B16" r:id="rId12" display="https://www.thetimes.co.uk/article/marit-lisbet-sigrid-hans-rausing-net-worth-sunday-times-rich-list-t5xf3w2dn" xr:uid="{ACEDA7BA-5846-4A63-9EF3-5609F33DF2E5}"/>
    <hyperlink ref="B18" r:id="rId13" display="https://www.thetimes.co.uk/article/denise-john-peter-coates-net-worth-sunday-times-rich-list-h6pjwxwlt" xr:uid="{37F4D118-ADA6-441E-AA75-8940A7F3586D}"/>
    <hyperlink ref="B19" r:id="rId14" display="https://www.thetimes.co.uk/article/john-fredriksen-family-net-worth-sunday-times-rich-list-k8gq6r3xg" xr:uid="{98F22842-7A5F-4917-89F4-B9AD1DADF763}"/>
    <hyperlink ref="B20" r:id="rId15" display="https://www.thetimes.co.uk/article/christoph-henkel-family-net-worth-sunday-times-rich-list-d535fhtkb" xr:uid="{9FAB7803-498E-4FFC-9571-529E6C001BE6}"/>
    <hyperlink ref="B21" r:id="rId16" display="https://www.thetimes.co.uk/article/mikhail-fridman-net-worth-sunday-times-rich-list-rwzl0xg78" xr:uid="{E6F3F5C3-48B8-485C-B8DF-2FB3F392E261}"/>
    <hyperlink ref="B22" r:id="rId17" display="https://www.thetimes.co.uk/article/moshe-kantor-net-worth-sunday-times-rich-list-zd3dp8jpm" xr:uid="{C190C601-BCBF-41FF-8E96-50210E51C7B7}"/>
  </hyperlinks>
  <pageMargins left="0.7" right="0.7" top="0.75" bottom="0.75" header="0.3" footer="0.3"/>
  <pageSetup orientation="portrait" r:id="rId1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FDC09-D52C-42BB-87FC-5200B18005AC}">
  <sheetPr codeName="Sheet2"/>
  <dimension ref="A1:I24"/>
  <sheetViews>
    <sheetView tabSelected="1" workbookViewId="0">
      <selection activeCell="G16" sqref="G16"/>
    </sheetView>
  </sheetViews>
  <sheetFormatPr defaultColWidth="24.85546875" defaultRowHeight="15"/>
  <cols>
    <col min="1" max="3" width="33.5703125" customWidth="1"/>
    <col min="4" max="4" width="7" style="13" customWidth="1"/>
    <col min="5" max="5" width="9" style="13" customWidth="1"/>
    <col min="6" max="6" width="7" style="13" customWidth="1"/>
    <col min="7" max="9" width="33.5703125" customWidth="1"/>
  </cols>
  <sheetData>
    <row r="1" spans="1:9" ht="21">
      <c r="A1" s="14" t="s">
        <v>61</v>
      </c>
      <c r="B1" s="14"/>
      <c r="C1" s="14"/>
      <c r="D1" s="14"/>
      <c r="E1" s="14"/>
      <c r="F1" s="14"/>
      <c r="G1" s="14"/>
      <c r="H1" s="14"/>
      <c r="I1" s="14"/>
    </row>
    <row r="2" spans="1:9" ht="18.75">
      <c r="A2" s="15" t="s">
        <v>77</v>
      </c>
      <c r="B2" s="15"/>
      <c r="C2" s="15"/>
      <c r="D2" s="18" t="s">
        <v>82</v>
      </c>
      <c r="E2" s="18"/>
      <c r="F2" s="18"/>
      <c r="G2" s="19" t="s">
        <v>78</v>
      </c>
      <c r="H2" s="19"/>
      <c r="I2" s="19"/>
    </row>
    <row r="3" spans="1:9">
      <c r="A3" s="16" t="s">
        <v>62</v>
      </c>
      <c r="B3" s="16" t="s">
        <v>70</v>
      </c>
      <c r="C3" s="16" t="s">
        <v>87</v>
      </c>
      <c r="D3" s="17" t="s">
        <v>72</v>
      </c>
      <c r="E3" s="17">
        <v>50</v>
      </c>
      <c r="F3" s="17" t="s">
        <v>72</v>
      </c>
      <c r="G3" s="12" t="s">
        <v>79</v>
      </c>
      <c r="H3" s="12" t="s">
        <v>80</v>
      </c>
      <c r="I3" s="12" t="s">
        <v>81</v>
      </c>
    </row>
    <row r="4" spans="1:9">
      <c r="A4" s="11" t="s">
        <v>63</v>
      </c>
      <c r="B4" s="20">
        <f>SUM(B5:B24)</f>
        <v>133.20549999999997</v>
      </c>
      <c r="C4" s="21">
        <f ca="1">(B4*1000000000)*Helpers!$B$3/365*Helpers!$B$7</f>
        <v>110906117.03024313</v>
      </c>
      <c r="E4" s="20">
        <f>SUM(E5:E24)</f>
        <v>133.20549999999997</v>
      </c>
      <c r="G4" s="11" t="s">
        <v>85</v>
      </c>
      <c r="H4" s="21">
        <f>SUM(H5:H7)</f>
        <v>1179450.0000000037</v>
      </c>
      <c r="I4" s="22">
        <f>(Data!G6-Wireframe!H4)/Data!G6*100</f>
        <v>91.865862068965484</v>
      </c>
    </row>
    <row r="5" spans="1:9">
      <c r="A5" t="str">
        <f>Data!B3</f>
        <v>Sri and Gopi Hinduja and family</v>
      </c>
      <c r="B5" s="10">
        <f>IF(($E$3=0),Data!C3,Data!C3*((100-$E$3)/100))</f>
        <v>14.236000000000001</v>
      </c>
      <c r="C5" s="9">
        <f ca="1">(B5*1000000000)*Helpers!$B$3/365*Helpers!$B$7</f>
        <v>11852809.996903595</v>
      </c>
      <c r="E5" s="13">
        <f>Data!C3*(($E$3)/100)</f>
        <v>14.236000000000001</v>
      </c>
      <c r="G5" t="str">
        <f>Data!F3</f>
        <v>Children</v>
      </c>
      <c r="H5" s="9">
        <f>(Data!G3-(Data!$J$3/3))</f>
        <v>-140183.33333333209</v>
      </c>
    </row>
    <row r="6" spans="1:9">
      <c r="A6" t="str">
        <f>Data!B4</f>
        <v>Sir James Dyson and family</v>
      </c>
      <c r="B6" s="10">
        <f>IF(($E$3=0),Data!C4,Data!C4*((100-$E$3)/100))</f>
        <v>11.5</v>
      </c>
      <c r="C6" s="9">
        <f ca="1">(B6*1000000000)*Helpers!$B$3/365*Helpers!$B$7</f>
        <v>9574832.4644837957</v>
      </c>
      <c r="E6" s="13">
        <f>Data!C4*(($E$3)/100)</f>
        <v>11.5</v>
      </c>
      <c r="G6" t="str">
        <f>Data!F4</f>
        <v>Working age adults</v>
      </c>
      <c r="H6" s="9">
        <f>(Data!G4-(Data!$J$3/3))</f>
        <v>3659816.6666666679</v>
      </c>
    </row>
    <row r="7" spans="1:9">
      <c r="A7" t="str">
        <f>Data!B5</f>
        <v>David and Simon Reuben and family</v>
      </c>
      <c r="B7" s="10">
        <f>IF(($E$3=0),Data!C5,Data!C5*((100-$E$3)/100))</f>
        <v>11.1325</v>
      </c>
      <c r="C7" s="9">
        <f ca="1">(B7*1000000000)*Helpers!$B$3/365*Helpers!$B$7</f>
        <v>9268854.1226839889</v>
      </c>
      <c r="E7" s="13">
        <f>Data!C5*(($E$3)/100)</f>
        <v>11.1325</v>
      </c>
      <c r="G7" t="str">
        <f>Data!F5</f>
        <v>Pension age adults</v>
      </c>
      <c r="H7" s="9">
        <f>(Data!G5-(Data!$J$3/3))</f>
        <v>-2340183.3333333321</v>
      </c>
    </row>
    <row r="8" spans="1:9">
      <c r="A8" t="str">
        <f>Data!B6</f>
        <v>Sir Leonard Blavatnik</v>
      </c>
      <c r="B8" s="10">
        <f>IF(($E$3=0),Data!C6,Data!C6*((100-$E$3)/100))</f>
        <v>10</v>
      </c>
      <c r="C8" s="9">
        <f ca="1">(B8*1000000000)*Helpers!$B$3/365*Helpers!$B$7</f>
        <v>8325941.2734641694</v>
      </c>
      <c r="E8" s="13">
        <f>Data!C6*(($E$3)/100)</f>
        <v>10</v>
      </c>
    </row>
    <row r="9" spans="1:9">
      <c r="A9" t="str">
        <f>Data!B7</f>
        <v>Guillaume Pousaz</v>
      </c>
      <c r="B9" s="10">
        <f>IF(($E$3=0),Data!C7,Data!C7*((100-$E$3)/100))</f>
        <v>9.6295000000000002</v>
      </c>
      <c r="C9" s="9">
        <f ca="1">(B9*1000000000)*Helpers!$B$3/365*Helpers!$B$7</f>
        <v>8017465.1492823232</v>
      </c>
      <c r="E9" s="13">
        <f>Data!C7*(($E$3)/100)</f>
        <v>9.6295000000000002</v>
      </c>
    </row>
    <row r="10" spans="1:9">
      <c r="A10" t="str">
        <f>Data!B8</f>
        <v>Lakshmi Mittal and family</v>
      </c>
      <c r="B10" s="10">
        <f>IF(($E$3=0),Data!C8,Data!C8*((100-$E$3)/100))</f>
        <v>8.5</v>
      </c>
      <c r="C10" s="9">
        <f ca="1">(B10*1000000000)*Helpers!$B$3/365*Helpers!$B$7</f>
        <v>7077050.0824445449</v>
      </c>
      <c r="E10" s="13">
        <f>Data!C8*(($E$3)/100)</f>
        <v>8.5</v>
      </c>
    </row>
    <row r="11" spans="1:9">
      <c r="A11" t="str">
        <f>Data!B9</f>
        <v>Guy, George, Alannah and Galen Weston and family</v>
      </c>
      <c r="B11" s="10">
        <f>IF(($E$3=0),Data!C9,Data!C9*((100-$E$3)/100))</f>
        <v>6.75</v>
      </c>
      <c r="C11" s="9">
        <f ca="1">(B11*1000000000)*Helpers!$B$3/365*Helpers!$B$7</f>
        <v>5620010.3595883157</v>
      </c>
      <c r="E11" s="13">
        <f>Data!C9*(($E$3)/100)</f>
        <v>6.75</v>
      </c>
    </row>
    <row r="12" spans="1:9">
      <c r="A12" t="str">
        <f>Data!B10</f>
        <v>Kirsten and Jorn Rausing</v>
      </c>
      <c r="B12" s="10">
        <f>IF(($E$3=0),Data!C10,Data!C10*((100-$E$3)/100))</f>
        <v>6</v>
      </c>
      <c r="C12" s="9">
        <f ca="1">(B12*1000000000)*Helpers!$B$3/365*Helpers!$B$7</f>
        <v>4995564.7640785025</v>
      </c>
      <c r="E12" s="13">
        <f>Data!C10*(($E$3)/100)</f>
        <v>6</v>
      </c>
    </row>
    <row r="13" spans="1:9">
      <c r="A13" t="str">
        <f>Data!B11</f>
        <v>Charlene de Carvalho-Heineken and Michel de Carvalho</v>
      </c>
      <c r="B13" s="10">
        <f>IF(($E$3=0),Data!C11,Data!C11*((100-$E$3)/100))</f>
        <v>5.7104999999999997</v>
      </c>
      <c r="C13" s="9">
        <f ca="1">(B13*1000000000)*Helpers!$B$3/365*Helpers!$B$7</f>
        <v>4754528.7642117143</v>
      </c>
      <c r="E13" s="13">
        <f>Data!C11*(($E$3)/100)</f>
        <v>5.7104999999999997</v>
      </c>
    </row>
    <row r="14" spans="1:9">
      <c r="A14" t="str">
        <f>Data!B12</f>
        <v>Michael Platt</v>
      </c>
      <c r="B14" s="10">
        <f>IF(($E$3=0),Data!C12,Data!C12*((100-$E$3)/100))</f>
        <v>5</v>
      </c>
      <c r="C14" s="9">
        <f ca="1">(B14*1000000000)*Helpers!$B$3/365*Helpers!$B$7</f>
        <v>4162970.6367320847</v>
      </c>
      <c r="E14" s="13">
        <f>Data!C12*(($E$3)/100)</f>
        <v>5</v>
      </c>
    </row>
    <row r="15" spans="1:9">
      <c r="A15" t="str">
        <f>Data!B13</f>
        <v>Alisher Usmanov</v>
      </c>
      <c r="B15" s="10">
        <f>IF(($E$3=0),Data!C13,Data!C13*((100-$E$3)/100))</f>
        <v>5</v>
      </c>
      <c r="C15" s="9">
        <f ca="1">(B15*1000000000)*Helpers!$B$3/365*Helpers!$B$7</f>
        <v>4162970.6367320847</v>
      </c>
      <c r="E15" s="13">
        <f>Data!C13*(($E$3)/100)</f>
        <v>5</v>
      </c>
    </row>
    <row r="16" spans="1:9">
      <c r="A16" t="str">
        <f>Data!B14</f>
        <v>The Duke of Westminster and the Grosvenor family</v>
      </c>
      <c r="B16" s="10">
        <f>IF(($E$3=0),Data!C14,Data!C14*((100-$E$3)/100))</f>
        <v>4.8630000000000004</v>
      </c>
      <c r="C16" s="9">
        <f ca="1">(B16*1000000000)*Helpers!$B$3/365*Helpers!$B$7</f>
        <v>4048905.2412856263</v>
      </c>
      <c r="E16" s="13">
        <f>Data!C14*(($E$3)/100)</f>
        <v>4.8630000000000004</v>
      </c>
    </row>
    <row r="17" spans="1:5">
      <c r="A17" t="str">
        <f>Data!B15</f>
        <v>Barnaby and Merlin Swire and family</v>
      </c>
      <c r="B17" s="10">
        <f>IF(($E$3=0),Data!C15,Data!C15*((100-$E$3)/100))</f>
        <v>4.8</v>
      </c>
      <c r="C17" s="9">
        <f ca="1">(B17*1000000000)*Helpers!$B$3/365*Helpers!$B$7</f>
        <v>3996451.8112628013</v>
      </c>
      <c r="E17" s="13">
        <f>Data!C15*(($E$3)/100)</f>
        <v>4.8</v>
      </c>
    </row>
    <row r="18" spans="1:5">
      <c r="A18" t="str">
        <f>Data!B16</f>
        <v>Marit, Lisbet, Sigrid and Hans Rausing</v>
      </c>
      <c r="B18" s="10">
        <f>IF(($E$3=0),Data!C16,Data!C16*((100-$E$3)/100))</f>
        <v>4.7450000000000001</v>
      </c>
      <c r="C18" s="9">
        <f ca="1">(B18*1000000000)*Helpers!$B$3/365*Helpers!$B$7</f>
        <v>3950659.134258749</v>
      </c>
      <c r="E18" s="13">
        <f>Data!C16*(($E$3)/100)</f>
        <v>4.7450000000000001</v>
      </c>
    </row>
    <row r="19" spans="1:5">
      <c r="A19" t="str">
        <f>Data!B17</f>
        <v>Anil Agarwal</v>
      </c>
      <c r="B19" s="10">
        <f>IF(($E$3=0),Data!C17,Data!C17*((100-$E$3)/100))</f>
        <v>4.5999999999999996</v>
      </c>
      <c r="C19" s="9">
        <f ca="1">(B19*1000000000)*Helpers!$B$3/365*Helpers!$B$7</f>
        <v>3829932.9857935193</v>
      </c>
      <c r="E19" s="13">
        <f>Data!C17*(($E$3)/100)</f>
        <v>4.5999999999999996</v>
      </c>
    </row>
    <row r="20" spans="1:5">
      <c r="A20" t="str">
        <f>Data!B18</f>
        <v>Denise, John and Peter Coates</v>
      </c>
      <c r="B20" s="10">
        <f>IF(($E$3=0),Data!C18,Data!C18*((100-$E$3)/100))</f>
        <v>4.3185000000000002</v>
      </c>
      <c r="C20" s="9">
        <f ca="1">(B20*1000000000)*Helpers!$B$3/365*Helpers!$B$7</f>
        <v>3595557.7389455023</v>
      </c>
      <c r="E20" s="13">
        <f>Data!C18*(($E$3)/100)</f>
        <v>4.3185000000000002</v>
      </c>
    </row>
    <row r="21" spans="1:5">
      <c r="A21" t="str">
        <f>Data!B19</f>
        <v>John Fredriksen and family</v>
      </c>
      <c r="B21" s="10">
        <f>IF(($E$3=0),Data!C19,Data!C19*((100-$E$3)/100))</f>
        <v>4.1555</v>
      </c>
      <c r="C21" s="9">
        <f ca="1">(B21*1000000000)*Helpers!$B$3/365*Helpers!$B$7</f>
        <v>3459844.8961880361</v>
      </c>
      <c r="E21" s="13">
        <f>Data!C19*(($E$3)/100)</f>
        <v>4.1555</v>
      </c>
    </row>
    <row r="22" spans="1:5">
      <c r="A22" t="str">
        <f>Data!B20</f>
        <v>Christoph Henkel and family</v>
      </c>
      <c r="B22" s="10">
        <f>IF(($E$3=0),Data!C20,Data!C20*((100-$E$3)/100))</f>
        <v>4.1539999999999999</v>
      </c>
      <c r="C22" s="9">
        <f ca="1">(B22*1000000000)*Helpers!$B$3/365*Helpers!$B$7</f>
        <v>3458596.0049970164</v>
      </c>
      <c r="E22" s="13">
        <f>Data!C20*(($E$3)/100)</f>
        <v>4.1539999999999999</v>
      </c>
    </row>
    <row r="23" spans="1:5">
      <c r="A23" t="str">
        <f>Data!B21</f>
        <v>Mikhail Fridman</v>
      </c>
      <c r="B23" s="10">
        <f>IF(($E$3=0),Data!C21,Data!C21*((100-$E$3)/100))</f>
        <v>4.1109999999999998</v>
      </c>
      <c r="C23" s="9">
        <f ca="1">(B23*1000000000)*Helpers!$B$3/365*Helpers!$B$7</f>
        <v>3422794.457521121</v>
      </c>
      <c r="E23" s="13">
        <f>Data!C21*(($E$3)/100)</f>
        <v>4.1109999999999998</v>
      </c>
    </row>
    <row r="24" spans="1:5">
      <c r="A24" t="str">
        <f>Data!B22</f>
        <v>Moshe Kantor</v>
      </c>
      <c r="B24" s="10">
        <f>IF(($E$3=0),Data!C22,Data!C22*((100-$E$3)/100))</f>
        <v>4</v>
      </c>
      <c r="C24" s="9">
        <f ca="1">(B24*1000000000)*Helpers!$B$3/365*Helpers!$B$7</f>
        <v>3330376.5093856682</v>
      </c>
      <c r="E24" s="13">
        <f>Data!C22*(($E$3)/100)</f>
        <v>4</v>
      </c>
    </row>
  </sheetData>
  <mergeCells count="4">
    <mergeCell ref="A1:I1"/>
    <mergeCell ref="A2:C2"/>
    <mergeCell ref="G2:I2"/>
    <mergeCell ref="D2:F2"/>
  </mergeCells>
  <dataValidations count="1">
    <dataValidation type="list" allowBlank="1" showInputMessage="1" showErrorMessage="1" sqref="E3" xr:uid="{4663A38F-0B02-449E-B384-87A75393E96C}">
      <formula1>"0,1,2,3,4,5,10,15,20,25,50,75,90"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5E068-11AC-4B1D-8246-206798203B40}">
  <sheetPr codeName="Sheet3"/>
  <dimension ref="A1:B7"/>
  <sheetViews>
    <sheetView workbookViewId="0">
      <selection activeCell="B12" sqref="B12"/>
    </sheetView>
  </sheetViews>
  <sheetFormatPr defaultRowHeight="15"/>
  <cols>
    <col min="1" max="1" width="25.5703125" customWidth="1"/>
    <col min="2" max="2" width="18" customWidth="1"/>
  </cols>
  <sheetData>
    <row r="1" spans="1:2">
      <c r="A1" t="s">
        <v>64</v>
      </c>
      <c r="B1" s="8">
        <v>44927</v>
      </c>
    </row>
    <row r="2" spans="1:2">
      <c r="A2" t="s">
        <v>65</v>
      </c>
      <c r="B2" s="8">
        <f ca="1">NOW()</f>
        <v>44934.597421412036</v>
      </c>
    </row>
    <row r="3" spans="1:2">
      <c r="A3" t="s">
        <v>66</v>
      </c>
      <c r="B3">
        <f ca="1">B2-B1</f>
        <v>7.5974214120360557</v>
      </c>
    </row>
    <row r="4" spans="1:2">
      <c r="A4" t="s">
        <v>67</v>
      </c>
      <c r="B4">
        <f>24*60*60</f>
        <v>86400</v>
      </c>
    </row>
    <row r="5" spans="1:2">
      <c r="A5" t="s">
        <v>68</v>
      </c>
      <c r="B5">
        <f ca="1">B4*B3</f>
        <v>656417.20999991521</v>
      </c>
    </row>
    <row r="6" spans="1:2">
      <c r="A6" t="s">
        <v>71</v>
      </c>
      <c r="B6">
        <v>1</v>
      </c>
    </row>
    <row r="7" spans="1:2">
      <c r="A7" t="s">
        <v>69</v>
      </c>
      <c r="B7">
        <v>0.04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Wireframe</vt:lpstr>
      <vt:lpstr>Helpers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Latham</dc:creator>
  <cp:lastModifiedBy>Phil Latham</cp:lastModifiedBy>
  <dcterms:created xsi:type="dcterms:W3CDTF">2015-06-05T18:19:34Z</dcterms:created>
  <dcterms:modified xsi:type="dcterms:W3CDTF">2023-01-08T14:20:29Z</dcterms:modified>
</cp:coreProperties>
</file>