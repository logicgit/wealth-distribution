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D:\GIT Projects\wealth-distribution\"/>
    </mc:Choice>
  </mc:AlternateContent>
  <xr:revisionPtr revIDLastSave="0" documentId="13_ncr:1_{D5A53F12-6340-4961-AC09-3508318E3A6D}" xr6:coauthVersionLast="47" xr6:coauthVersionMax="47" xr10:uidLastSave="{00000000-0000-0000-0000-000000000000}"/>
  <bookViews>
    <workbookView xWindow="38280" yWindow="-120" windowWidth="38640" windowHeight="21120" activeTab="1" xr2:uid="{00000000-000D-0000-FFFF-FFFF00000000}"/>
  </bookViews>
  <sheets>
    <sheet name="Data" sheetId="1" r:id="rId1"/>
    <sheet name="Wireframe" sheetId="2" r:id="rId2"/>
    <sheet name="Helper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H6" i="2"/>
  <c r="H7" i="2"/>
  <c r="H8" i="2"/>
  <c r="H9" i="2"/>
  <c r="H10" i="2"/>
  <c r="H11" i="2"/>
  <c r="H12" i="2"/>
  <c r="H13" i="2"/>
  <c r="H14" i="2"/>
  <c r="H15" i="2"/>
  <c r="H16" i="2"/>
  <c r="H17" i="2"/>
  <c r="H18" i="2"/>
  <c r="H19" i="2"/>
  <c r="H20" i="2"/>
  <c r="H21" i="2"/>
  <c r="H22" i="2"/>
  <c r="H23" i="2"/>
  <c r="H24" i="2"/>
  <c r="H5" i="2"/>
  <c r="G6" i="1"/>
  <c r="L1" i="1"/>
  <c r="B6" i="2"/>
  <c r="B7" i="2"/>
  <c r="B8" i="2"/>
  <c r="B9" i="2"/>
  <c r="B10" i="2"/>
  <c r="B11" i="2"/>
  <c r="B12" i="2"/>
  <c r="B13" i="2"/>
  <c r="B14" i="2"/>
  <c r="B15" i="2"/>
  <c r="B16" i="2"/>
  <c r="B17" i="2"/>
  <c r="B18" i="2"/>
  <c r="B19" i="2"/>
  <c r="B20" i="2"/>
  <c r="B21" i="2"/>
  <c r="B22" i="2"/>
  <c r="B23" i="2"/>
  <c r="B24" i="2"/>
  <c r="B5" i="2"/>
  <c r="J6" i="2"/>
  <c r="J7" i="2"/>
  <c r="J5" i="2"/>
  <c r="B6" i="3"/>
  <c r="B2" i="3"/>
  <c r="B4" i="3" s="1"/>
  <c r="A6" i="2"/>
  <c r="A7" i="2"/>
  <c r="A8" i="2"/>
  <c r="A9" i="2"/>
  <c r="A10" i="2"/>
  <c r="A11" i="2"/>
  <c r="A12" i="2"/>
  <c r="A13" i="2"/>
  <c r="A14" i="2"/>
  <c r="A15" i="2"/>
  <c r="A16" i="2"/>
  <c r="A17" i="2"/>
  <c r="A18" i="2"/>
  <c r="A19" i="2"/>
  <c r="A20" i="2"/>
  <c r="A21" i="2"/>
  <c r="A22" i="2"/>
  <c r="A23" i="2"/>
  <c r="A24" i="2"/>
  <c r="A5" i="2"/>
  <c r="C23" i="1"/>
  <c r="H4" i="2" l="1"/>
  <c r="B5" i="3"/>
  <c r="B7" i="3"/>
  <c r="B4" i="2"/>
  <c r="F4" i="2" s="1"/>
  <c r="F22" i="2"/>
  <c r="F18" i="2"/>
  <c r="F24" i="2"/>
  <c r="F23" i="2"/>
  <c r="F13" i="2"/>
  <c r="F21" i="2"/>
  <c r="F20" i="2"/>
  <c r="F19" i="2"/>
  <c r="F17" i="2"/>
  <c r="F16" i="2"/>
  <c r="F15" i="2"/>
  <c r="F14" i="2"/>
  <c r="F12" i="2"/>
  <c r="F11" i="2"/>
  <c r="F10" i="2"/>
  <c r="F9" i="2"/>
  <c r="F8" i="2"/>
  <c r="F7" i="2"/>
  <c r="F6" i="2"/>
  <c r="F5" i="2"/>
  <c r="C4" i="2" l="1"/>
  <c r="C5" i="2"/>
  <c r="C8" i="2"/>
  <c r="C9" i="2"/>
  <c r="C10" i="2"/>
  <c r="C11" i="2"/>
  <c r="C12" i="2"/>
  <c r="C13" i="2"/>
  <c r="C14" i="2"/>
  <c r="C16" i="2"/>
  <c r="C17" i="2"/>
  <c r="C18" i="2"/>
  <c r="C20" i="2"/>
  <c r="C21" i="2"/>
  <c r="C24" i="2"/>
  <c r="C6" i="2"/>
  <c r="C15" i="2"/>
  <c r="C19" i="2"/>
  <c r="C23" i="2"/>
  <c r="C7" i="2"/>
  <c r="C22" i="2"/>
  <c r="I3" i="1"/>
  <c r="J3" i="1" s="1"/>
  <c r="K6" i="2" s="1"/>
  <c r="E23" i="2" l="1"/>
  <c r="D23" i="2"/>
  <c r="D22" i="2"/>
  <c r="E22" i="2"/>
  <c r="E7" i="2"/>
  <c r="D7" i="2"/>
  <c r="E6" i="2"/>
  <c r="D6" i="2"/>
  <c r="D21" i="2"/>
  <c r="E21" i="2"/>
  <c r="D20" i="2"/>
  <c r="E20" i="2"/>
  <c r="D17" i="2"/>
  <c r="E17" i="2"/>
  <c r="D14" i="2"/>
  <c r="E14" i="2"/>
  <c r="D9" i="2"/>
  <c r="E9" i="2"/>
  <c r="D19" i="2"/>
  <c r="E19" i="2"/>
  <c r="D15" i="2"/>
  <c r="E15" i="2"/>
  <c r="D24" i="2"/>
  <c r="E24" i="2"/>
  <c r="D18" i="2"/>
  <c r="E18" i="2"/>
  <c r="D16" i="2"/>
  <c r="E16" i="2"/>
  <c r="D13" i="2"/>
  <c r="E13" i="2"/>
  <c r="D12" i="2"/>
  <c r="E12" i="2"/>
  <c r="D11" i="2"/>
  <c r="E11" i="2"/>
  <c r="D10" i="2"/>
  <c r="E10" i="2"/>
  <c r="D8" i="2"/>
  <c r="E8" i="2"/>
  <c r="D5" i="2"/>
  <c r="E5" i="2"/>
  <c r="D4" i="2"/>
  <c r="E4" i="2"/>
  <c r="K5" i="2"/>
  <c r="K7" i="2"/>
  <c r="K4" i="2" s="1"/>
  <c r="L4" i="2" s="1"/>
</calcChain>
</file>

<file path=xl/sharedStrings.xml><?xml version="1.0" encoding="utf-8"?>
<sst xmlns="http://schemas.openxmlformats.org/spreadsheetml/2006/main" count="108" uniqueCount="102">
  <si>
    <r>
      <t>1</t>
    </r>
    <r>
      <rPr>
        <sz val="11"/>
        <color rgb="FF696969"/>
        <rFont val="TimesModern-Regular"/>
      </rPr>
      <t> (3)</t>
    </r>
  </si>
  <si>
    <t>Sri and Gopi Hinduja and family</t>
  </si>
  <si>
    <t>Industry and finance</t>
  </si>
  <si>
    <r>
      <t>2</t>
    </r>
    <r>
      <rPr>
        <sz val="11"/>
        <color rgb="FF696969"/>
        <rFont val="TimesModern-Regular"/>
      </rPr>
      <t> (4)</t>
    </r>
  </si>
  <si>
    <t>Sir James Dyson and family</t>
  </si>
  <si>
    <t>Household goods and technology: Dyson</t>
  </si>
  <si>
    <r>
      <t>3</t>
    </r>
    <r>
      <rPr>
        <sz val="11"/>
        <color rgb="FF696969"/>
        <rFont val="TimesModern-Regular"/>
      </rPr>
      <t> (2)</t>
    </r>
  </si>
  <si>
    <t>David and Simon Reuben and family</t>
  </si>
  <si>
    <t>Property and internet</t>
  </si>
  <si>
    <r>
      <t>4</t>
    </r>
    <r>
      <rPr>
        <sz val="11"/>
        <color rgb="FF696969"/>
        <rFont val="TimesModern-Regular"/>
      </rPr>
      <t> (1)</t>
    </r>
  </si>
  <si>
    <t>Sir Leonard Blavatnik</t>
  </si>
  <si>
    <t>Investment, music and media</t>
  </si>
  <si>
    <r>
      <t>5</t>
    </r>
    <r>
      <rPr>
        <sz val="11"/>
        <color rgb="FF696969"/>
        <rFont val="TimesModern-Regular"/>
      </rPr>
      <t> (33)</t>
    </r>
  </si>
  <si>
    <t>Guillaume Pousaz</t>
  </si>
  <si>
    <t>Online payments: Checkout.com</t>
  </si>
  <si>
    <r>
      <t>6</t>
    </r>
    <r>
      <rPr>
        <sz val="11"/>
        <color rgb="FF696969"/>
        <rFont val="TimesModern-Regular"/>
      </rPr>
      <t> (5)</t>
    </r>
  </si>
  <si>
    <t>Lakshmi Mittal and family</t>
  </si>
  <si>
    <t>Steel: ArcelorMittal</t>
  </si>
  <si>
    <r>
      <t>7</t>
    </r>
    <r>
      <rPr>
        <sz val="11"/>
        <color rgb="FF696969"/>
        <rFont val="TimesModern-Regular"/>
      </rPr>
      <t> (10)</t>
    </r>
  </si>
  <si>
    <t>Guy, George, Alannah and Galen Weston and family</t>
  </si>
  <si>
    <t>Retailing</t>
  </si>
  <si>
    <r>
      <t>8</t>
    </r>
    <r>
      <rPr>
        <sz val="11"/>
        <color rgb="FF696969"/>
        <rFont val="TimesModern-Regular"/>
      </rPr>
      <t> (7)</t>
    </r>
  </si>
  <si>
    <t>Kirsten and Jorn Rausing</t>
  </si>
  <si>
    <t>Inheritance and investment</t>
  </si>
  <si>
    <r>
      <t>9</t>
    </r>
    <r>
      <rPr>
        <sz val="11"/>
        <color rgb="FF696969"/>
        <rFont val="TimesModern-Regular"/>
      </rPr>
      <t> (9)</t>
    </r>
  </si>
  <si>
    <t>Charlene de Carvalho-Heineken and Michel de Carvalho</t>
  </si>
  <si>
    <t>Inheritance, brewing and banking</t>
  </si>
  <si>
    <r>
      <t>10=</t>
    </r>
    <r>
      <rPr>
        <sz val="11"/>
        <color rgb="FF696969"/>
        <rFont val="TimesModern-Regular"/>
      </rPr>
      <t> (18)</t>
    </r>
  </si>
  <si>
    <t>Michael Platt</t>
  </si>
  <si>
    <t>Hedge fund</t>
  </si>
  <si>
    <r>
      <t>10=</t>
    </r>
    <r>
      <rPr>
        <sz val="11"/>
        <color rgb="FF696969"/>
        <rFont val="TimesModern-Regular"/>
      </rPr>
      <t> (6)</t>
    </r>
  </si>
  <si>
    <t>Alisher Usmanov</t>
  </si>
  <si>
    <t>Mining and investment</t>
  </si>
  <si>
    <r>
      <t>12</t>
    </r>
    <r>
      <rPr>
        <sz val="11"/>
        <color rgb="FF696969"/>
        <rFont val="TimesModern-Regular"/>
      </rPr>
      <t> (12)</t>
    </r>
  </si>
  <si>
    <t>The Duke of Westminster and the Grosvenor family</t>
  </si>
  <si>
    <t>Property</t>
  </si>
  <si>
    <r>
      <t>13</t>
    </r>
    <r>
      <rPr>
        <sz val="11"/>
        <color rgb="FF696969"/>
        <rFont val="TimesModern-Regular"/>
      </rPr>
      <t> (21)</t>
    </r>
  </si>
  <si>
    <t>Barnaby and Merlin Swire and family</t>
  </si>
  <si>
    <t>Industry, transport and property</t>
  </si>
  <si>
    <r>
      <t>14</t>
    </r>
    <r>
      <rPr>
        <sz val="11"/>
        <color rgb="FF696969"/>
        <rFont val="TimesModern-Regular"/>
      </rPr>
      <t> (13)</t>
    </r>
  </si>
  <si>
    <t>Marit, Lisbet, Sigrid and Hans Rausing</t>
  </si>
  <si>
    <t>Inheritance: Tetra Laval</t>
  </si>
  <si>
    <r>
      <t>15</t>
    </r>
    <r>
      <rPr>
        <sz val="11"/>
        <color rgb="FF696969"/>
        <rFont val="TimesModern-Regular"/>
      </rPr>
      <t> (15)</t>
    </r>
  </si>
  <si>
    <t>Anil Agarwal</t>
  </si>
  <si>
    <t>Mining: Vedanta Resources</t>
  </si>
  <si>
    <r>
      <t>16</t>
    </r>
    <r>
      <rPr>
        <sz val="11"/>
        <color rgb="FF696969"/>
        <rFont val="TimesModern-Regular"/>
      </rPr>
      <t> (17)</t>
    </r>
  </si>
  <si>
    <t>Denise, John and Peter Coates</t>
  </si>
  <si>
    <t>Gambling: Bet365</t>
  </si>
  <si>
    <r>
      <t>17</t>
    </r>
    <r>
      <rPr>
        <sz val="11"/>
        <color rgb="FF696969"/>
        <rFont val="TimesModern-Regular"/>
      </rPr>
      <t> (19)</t>
    </r>
  </si>
  <si>
    <t>John Fredriksen and family</t>
  </si>
  <si>
    <t>Shipping and oil services</t>
  </si>
  <si>
    <r>
      <t>18</t>
    </r>
    <r>
      <rPr>
        <sz val="11"/>
        <color rgb="FF696969"/>
        <rFont val="TimesModern-Regular"/>
      </rPr>
      <t> (120=)</t>
    </r>
  </si>
  <si>
    <t>Christoph Henkel and family</t>
  </si>
  <si>
    <t>Chemicals: Henkel</t>
  </si>
  <si>
    <r>
      <t>19</t>
    </r>
    <r>
      <rPr>
        <sz val="11"/>
        <color rgb="FF696969"/>
        <rFont val="TimesModern-Regular"/>
      </rPr>
      <t> (11)</t>
    </r>
  </si>
  <si>
    <t>Mikhail Fridman</t>
  </si>
  <si>
    <t>Industry: Alfa Group and Letter One</t>
  </si>
  <si>
    <r>
      <t>20</t>
    </r>
    <r>
      <rPr>
        <sz val="11"/>
        <color rgb="FF696969"/>
        <rFont val="TimesModern-Regular"/>
      </rPr>
      <t> (48)</t>
    </r>
  </si>
  <si>
    <t>Moshe Kantor</t>
  </si>
  <si>
    <t>Chemicals: Acron</t>
  </si>
  <si>
    <t>Billions</t>
  </si>
  <si>
    <t>Wealth Inequality in the UK</t>
  </si>
  <si>
    <t>Name</t>
  </si>
  <si>
    <t>Total (top 20)</t>
  </si>
  <si>
    <t xml:space="preserve">Datetime start of year: </t>
  </si>
  <si>
    <t>Datetime now:</t>
  </si>
  <si>
    <t>Seconds in a day:</t>
  </si>
  <si>
    <t>Second since start of year:</t>
  </si>
  <si>
    <t>Interest rate:</t>
  </si>
  <si>
    <t>Worth (2022 - £B)</t>
  </si>
  <si>
    <t>Response time:</t>
  </si>
  <si>
    <t>&gt;&gt;&gt;</t>
  </si>
  <si>
    <t>Poverty</t>
  </si>
  <si>
    <t>Children</t>
  </si>
  <si>
    <t>Working age adults</t>
  </si>
  <si>
    <t>Pension age adults</t>
  </si>
  <si>
    <t xml:space="preserve">WEALTH  </t>
  </si>
  <si>
    <t>POVERTY</t>
  </si>
  <si>
    <t>Category</t>
  </si>
  <si>
    <t>Population</t>
  </si>
  <si>
    <t>% change</t>
  </si>
  <si>
    <t>REDISTRIBUTE</t>
  </si>
  <si>
    <t>Wealth</t>
  </si>
  <si>
    <t>Redistribution</t>
  </si>
  <si>
    <t>Total</t>
  </si>
  <si>
    <t>Every billion removes 100000 from proverty (£10k each)</t>
  </si>
  <si>
    <t>Growth since start of year (4% £)</t>
  </si>
  <si>
    <t>total</t>
  </si>
  <si>
    <t>Date diff: start of year</t>
  </si>
  <si>
    <t>Date diff: start of run</t>
  </si>
  <si>
    <t>Iphones</t>
  </si>
  <si>
    <t>Ferraris</t>
  </si>
  <si>
    <t>iPhone cost</t>
  </si>
  <si>
    <t>Ferrari cost</t>
  </si>
  <si>
    <t>Data pulled by server from Sunday Times and persisted to our database and server to the client</t>
  </si>
  <si>
    <t>Growth since webpage loaded (£)</t>
  </si>
  <si>
    <t>Real-time calculation of interest using the interest rate mined from the Bank of England and performed by our calculation engine</t>
  </si>
  <si>
    <t>Poverty figures pulled by server from database</t>
  </si>
  <si>
    <t>Poverty figures pulled by server from database. Adjusted dynamically when the client redistributes the wealth</t>
  </si>
  <si>
    <t>This is our shock factor based on the feedback from our stakeholder Matt. This tells you how many items they could have bought since the client loaded the page. We will use progress bars and images</t>
  </si>
  <si>
    <t>Client interaction allows them to enter a percentage of wealth to take from the tops 20 rich and resdistribute to the poor</t>
  </si>
  <si>
    <t>Percentage reduction in poverty figures based on wealth redistribution.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</si>
</sst>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font>
      <sz val="11"/>
      <color theme="1"/>
      <name val="Calibri"/>
      <family val="2"/>
      <scheme val="minor"/>
    </font>
    <font>
      <sz val="11"/>
      <color rgb="FF1D1D1B"/>
      <name val="TimesModern-Regular"/>
    </font>
    <font>
      <sz val="11"/>
      <color rgb="FF696969"/>
      <name val="TimesModern-Regular"/>
    </font>
    <font>
      <u/>
      <sz val="11"/>
      <color theme="10"/>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b/>
      <sz val="16"/>
      <color theme="0"/>
      <name val="Calibri"/>
      <family val="2"/>
      <scheme val="minor"/>
    </font>
    <font>
      <b/>
      <sz val="14"/>
      <name val="Calibri"/>
      <family val="2"/>
      <scheme val="minor"/>
    </font>
    <font>
      <b/>
      <sz val="14"/>
      <color theme="0"/>
      <name val="Calibri"/>
      <family val="2"/>
      <scheme val="minor"/>
    </font>
    <font>
      <sz val="11"/>
      <color rgb="FFFF0000"/>
      <name val="Calibri"/>
      <family val="2"/>
      <scheme val="minor"/>
    </font>
  </fonts>
  <fills count="6">
    <fill>
      <patternFill patternType="none"/>
    </fill>
    <fill>
      <patternFill patternType="gray125"/>
    </fill>
    <fill>
      <patternFill patternType="solid">
        <fgColor rgb="FFF2F2F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theme="9" tint="0.39997558519241921"/>
        <bgColor indexed="64"/>
      </patternFill>
    </fill>
  </fills>
  <borders count="2">
    <border>
      <left/>
      <right/>
      <top/>
      <bottom/>
      <diagonal/>
    </border>
    <border>
      <left/>
      <right/>
      <top style="medium">
        <color rgb="FFE8E8E8"/>
      </top>
      <bottom/>
      <diagonal/>
    </border>
  </borders>
  <cellStyleXfs count="2">
    <xf numFmtId="0" fontId="0" fillId="0" borderId="0"/>
    <xf numFmtId="0" fontId="3" fillId="0" borderId="0" applyNumberFormat="0" applyFill="0" applyBorder="0" applyAlignment="0" applyProtection="0"/>
  </cellStyleXfs>
  <cellXfs count="25">
    <xf numFmtId="0" fontId="0" fillId="0" borderId="0" xfId="0"/>
    <xf numFmtId="0" fontId="1" fillId="2" borderId="1" xfId="0" applyFont="1" applyFill="1" applyBorder="1" applyAlignment="1">
      <alignment horizontal="left" vertical="center" wrapText="1" indent="1"/>
    </xf>
    <xf numFmtId="0" fontId="3" fillId="2" borderId="1" xfId="1" applyFill="1" applyBorder="1" applyAlignment="1">
      <alignment horizontal="left" vertical="center" wrapText="1" indent="1"/>
    </xf>
    <xf numFmtId="0" fontId="1" fillId="0" borderId="1" xfId="0" applyFont="1" applyBorder="1" applyAlignment="1">
      <alignment horizontal="left" vertical="center" wrapText="1" indent="1"/>
    </xf>
    <xf numFmtId="0" fontId="3" fillId="0" borderId="1" xfId="1" applyBorder="1" applyAlignment="1">
      <alignment horizontal="left" vertical="center" wrapText="1" indent="1"/>
    </xf>
    <xf numFmtId="2" fontId="1" fillId="2" borderId="1" xfId="0" applyNumberFormat="1" applyFont="1" applyFill="1" applyBorder="1" applyAlignment="1">
      <alignment horizontal="left" vertical="center" wrapText="1" indent="1"/>
    </xf>
    <xf numFmtId="2" fontId="1" fillId="0" borderId="1" xfId="0" applyNumberFormat="1" applyFont="1" applyBorder="1" applyAlignment="1">
      <alignment horizontal="left" vertical="center" wrapText="1" indent="1"/>
    </xf>
    <xf numFmtId="2" fontId="0" fillId="0" borderId="0" xfId="0" applyNumberFormat="1"/>
    <xf numFmtId="22" fontId="0" fillId="0" borderId="0" xfId="0" applyNumberFormat="1"/>
    <xf numFmtId="3" fontId="0" fillId="0" borderId="0" xfId="0" applyNumberFormat="1"/>
    <xf numFmtId="164" fontId="0" fillId="0" borderId="0" xfId="0" applyNumberFormat="1"/>
    <xf numFmtId="0" fontId="5" fillId="0" borderId="0" xfId="0" applyFont="1"/>
    <xf numFmtId="0" fontId="5" fillId="3" borderId="0" xfId="0" applyFont="1" applyFill="1"/>
    <xf numFmtId="0" fontId="0" fillId="0" borderId="0" xfId="0" applyAlignment="1">
      <alignment horizontal="center"/>
    </xf>
    <xf numFmtId="0" fontId="5" fillId="5" borderId="0" xfId="0" applyFont="1" applyFill="1"/>
    <xf numFmtId="0" fontId="4" fillId="4" borderId="0" xfId="0" applyFont="1" applyFill="1" applyAlignment="1">
      <alignment horizontal="center"/>
    </xf>
    <xf numFmtId="164" fontId="5" fillId="0" borderId="0" xfId="0" applyNumberFormat="1" applyFont="1"/>
    <xf numFmtId="3" fontId="5" fillId="0" borderId="0" xfId="0" applyNumberFormat="1" applyFont="1"/>
    <xf numFmtId="2" fontId="5" fillId="0" borderId="0" xfId="0" applyNumberFormat="1" applyFont="1"/>
    <xf numFmtId="0" fontId="7" fillId="4" borderId="0" xfId="0" applyFont="1" applyFill="1" applyAlignment="1">
      <alignment horizontal="center"/>
    </xf>
    <xf numFmtId="0" fontId="8" fillId="5" borderId="0" xfId="0" applyFont="1" applyFill="1" applyAlignment="1">
      <alignment horizontal="center"/>
    </xf>
    <xf numFmtId="0" fontId="6" fillId="3" borderId="0" xfId="0" applyFont="1" applyFill="1" applyAlignment="1">
      <alignment horizontal="center"/>
    </xf>
    <xf numFmtId="0" fontId="9" fillId="4" borderId="0" xfId="0" applyFont="1" applyFill="1" applyAlignment="1">
      <alignment horizontal="center"/>
    </xf>
    <xf numFmtId="0" fontId="10" fillId="0" borderId="0" xfId="0" applyFont="1" applyAlignment="1">
      <alignment wrapText="1"/>
    </xf>
    <xf numFmtId="0" fontId="10" fillId="0" borderId="0" xfId="0" applyFont="1" applyAlignment="1">
      <alignment horizont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1038225</xdr:colOff>
      <xdr:row>24</xdr:row>
      <xdr:rowOff>76200</xdr:rowOff>
    </xdr:from>
    <xdr:to>
      <xdr:col>0</xdr:col>
      <xdr:colOff>1038225</xdr:colOff>
      <xdr:row>27</xdr:row>
      <xdr:rowOff>66675</xdr:rowOff>
    </xdr:to>
    <xdr:cxnSp macro="">
      <xdr:nvCxnSpPr>
        <xdr:cNvPr id="4" name="Straight Arrow Connector 3">
          <a:extLst>
            <a:ext uri="{FF2B5EF4-FFF2-40B4-BE49-F238E27FC236}">
              <a16:creationId xmlns:a16="http://schemas.microsoft.com/office/drawing/2014/main" id="{A0D24909-5D39-C96D-A3D7-82C4B280E7E0}"/>
            </a:ext>
          </a:extLst>
        </xdr:cNvPr>
        <xdr:cNvCxnSpPr/>
      </xdr:nvCxnSpPr>
      <xdr:spPr>
        <a:xfrm flipV="1">
          <a:off x="1038225" y="4772025"/>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657225</xdr:colOff>
      <xdr:row>24</xdr:row>
      <xdr:rowOff>85725</xdr:rowOff>
    </xdr:from>
    <xdr:to>
      <xdr:col>1</xdr:col>
      <xdr:colOff>657225</xdr:colOff>
      <xdr:row>27</xdr:row>
      <xdr:rowOff>76200</xdr:rowOff>
    </xdr:to>
    <xdr:cxnSp macro="">
      <xdr:nvCxnSpPr>
        <xdr:cNvPr id="5" name="Straight Arrow Connector 4">
          <a:extLst>
            <a:ext uri="{FF2B5EF4-FFF2-40B4-BE49-F238E27FC236}">
              <a16:creationId xmlns:a16="http://schemas.microsoft.com/office/drawing/2014/main" id="{0EECD1B4-1A08-47A0-A95D-816CC36532FD}"/>
            </a:ext>
          </a:extLst>
        </xdr:cNvPr>
        <xdr:cNvCxnSpPr/>
      </xdr:nvCxnSpPr>
      <xdr:spPr>
        <a:xfrm flipV="1">
          <a:off x="2895600" y="4781550"/>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876300</xdr:colOff>
      <xdr:row>24</xdr:row>
      <xdr:rowOff>76200</xdr:rowOff>
    </xdr:from>
    <xdr:to>
      <xdr:col>2</xdr:col>
      <xdr:colOff>876300</xdr:colOff>
      <xdr:row>27</xdr:row>
      <xdr:rowOff>66675</xdr:rowOff>
    </xdr:to>
    <xdr:cxnSp macro="">
      <xdr:nvCxnSpPr>
        <xdr:cNvPr id="6" name="Straight Arrow Connector 5">
          <a:extLst>
            <a:ext uri="{FF2B5EF4-FFF2-40B4-BE49-F238E27FC236}">
              <a16:creationId xmlns:a16="http://schemas.microsoft.com/office/drawing/2014/main" id="{54E42592-68E5-4202-A3CB-A07F2713F37F}"/>
            </a:ext>
          </a:extLst>
        </xdr:cNvPr>
        <xdr:cNvCxnSpPr/>
      </xdr:nvCxnSpPr>
      <xdr:spPr>
        <a:xfrm flipV="1">
          <a:off x="4419600" y="4772025"/>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466725</xdr:colOff>
      <xdr:row>24</xdr:row>
      <xdr:rowOff>57150</xdr:rowOff>
    </xdr:from>
    <xdr:to>
      <xdr:col>3</xdr:col>
      <xdr:colOff>466725</xdr:colOff>
      <xdr:row>27</xdr:row>
      <xdr:rowOff>47625</xdr:rowOff>
    </xdr:to>
    <xdr:cxnSp macro="">
      <xdr:nvCxnSpPr>
        <xdr:cNvPr id="7" name="Straight Arrow Connector 6">
          <a:extLst>
            <a:ext uri="{FF2B5EF4-FFF2-40B4-BE49-F238E27FC236}">
              <a16:creationId xmlns:a16="http://schemas.microsoft.com/office/drawing/2014/main" id="{A8A3351E-AC70-482C-B19B-42E6E318D139}"/>
            </a:ext>
          </a:extLst>
        </xdr:cNvPr>
        <xdr:cNvCxnSpPr/>
      </xdr:nvCxnSpPr>
      <xdr:spPr>
        <a:xfrm flipV="1">
          <a:off x="5734050" y="4752975"/>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485775</xdr:colOff>
      <xdr:row>24</xdr:row>
      <xdr:rowOff>76200</xdr:rowOff>
    </xdr:from>
    <xdr:to>
      <xdr:col>4</xdr:col>
      <xdr:colOff>485775</xdr:colOff>
      <xdr:row>27</xdr:row>
      <xdr:rowOff>66675</xdr:rowOff>
    </xdr:to>
    <xdr:cxnSp macro="">
      <xdr:nvCxnSpPr>
        <xdr:cNvPr id="8" name="Straight Arrow Connector 7">
          <a:extLst>
            <a:ext uri="{FF2B5EF4-FFF2-40B4-BE49-F238E27FC236}">
              <a16:creationId xmlns:a16="http://schemas.microsoft.com/office/drawing/2014/main" id="{4A938C12-40AC-466E-AFAF-2EBBFF23E9BF}"/>
            </a:ext>
          </a:extLst>
        </xdr:cNvPr>
        <xdr:cNvCxnSpPr/>
      </xdr:nvCxnSpPr>
      <xdr:spPr>
        <a:xfrm flipV="1">
          <a:off x="6657975" y="4772025"/>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1162050</xdr:colOff>
      <xdr:row>24</xdr:row>
      <xdr:rowOff>76200</xdr:rowOff>
    </xdr:from>
    <xdr:to>
      <xdr:col>5</xdr:col>
      <xdr:colOff>1162050</xdr:colOff>
      <xdr:row>27</xdr:row>
      <xdr:rowOff>66675</xdr:rowOff>
    </xdr:to>
    <xdr:cxnSp macro="">
      <xdr:nvCxnSpPr>
        <xdr:cNvPr id="9" name="Straight Arrow Connector 8">
          <a:extLst>
            <a:ext uri="{FF2B5EF4-FFF2-40B4-BE49-F238E27FC236}">
              <a16:creationId xmlns:a16="http://schemas.microsoft.com/office/drawing/2014/main" id="{B521730F-E35E-49EF-BBD4-57A55310A44D}"/>
            </a:ext>
          </a:extLst>
        </xdr:cNvPr>
        <xdr:cNvCxnSpPr/>
      </xdr:nvCxnSpPr>
      <xdr:spPr>
        <a:xfrm flipV="1">
          <a:off x="8305800" y="4772025"/>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295275</xdr:colOff>
      <xdr:row>24</xdr:row>
      <xdr:rowOff>47625</xdr:rowOff>
    </xdr:from>
    <xdr:to>
      <xdr:col>7</xdr:col>
      <xdr:colOff>295275</xdr:colOff>
      <xdr:row>27</xdr:row>
      <xdr:rowOff>38100</xdr:rowOff>
    </xdr:to>
    <xdr:cxnSp macro="">
      <xdr:nvCxnSpPr>
        <xdr:cNvPr id="10" name="Straight Arrow Connector 9">
          <a:extLst>
            <a:ext uri="{FF2B5EF4-FFF2-40B4-BE49-F238E27FC236}">
              <a16:creationId xmlns:a16="http://schemas.microsoft.com/office/drawing/2014/main" id="{CE071117-A532-4592-AEAE-93219CBA3765}"/>
            </a:ext>
          </a:extLst>
        </xdr:cNvPr>
        <xdr:cNvCxnSpPr/>
      </xdr:nvCxnSpPr>
      <xdr:spPr>
        <a:xfrm flipV="1">
          <a:off x="10144125" y="4743450"/>
          <a:ext cx="0" cy="561975"/>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thetimes.co.uk/article/kirsten-jorn-rausing-net-worth-sunday-times-rich-list-gsgxd5d3t" TargetMode="External"/><Relationship Id="rId13" Type="http://schemas.openxmlformats.org/officeDocument/2006/relationships/hyperlink" Target="https://www.thetimes.co.uk/article/denise-john-peter-coates-net-worth-sunday-times-rich-list-h6pjwxwlt" TargetMode="External"/><Relationship Id="rId18" Type="http://schemas.openxmlformats.org/officeDocument/2006/relationships/printerSettings" Target="../printerSettings/printerSettings1.bin"/><Relationship Id="rId3" Type="http://schemas.openxmlformats.org/officeDocument/2006/relationships/hyperlink" Target="https://www.thetimes.co.uk/article/david-simon-reuben-net-worth-sunday-times-rich-list-brj6fz2wz" TargetMode="External"/><Relationship Id="rId7" Type="http://schemas.openxmlformats.org/officeDocument/2006/relationships/hyperlink" Target="https://www.thetimes.co.uk/article/weston-family-net-worth-sunday-times-rich-list-8ln50rjp6" TargetMode="External"/><Relationship Id="rId12" Type="http://schemas.openxmlformats.org/officeDocument/2006/relationships/hyperlink" Target="https://www.thetimes.co.uk/article/marit-lisbet-sigrid-hans-rausing-net-worth-sunday-times-rich-list-t5xf3w2dn" TargetMode="External"/><Relationship Id="rId17" Type="http://schemas.openxmlformats.org/officeDocument/2006/relationships/hyperlink" Target="https://www.thetimes.co.uk/article/moshe-kantor-net-worth-sunday-times-rich-list-zd3dp8jpm" TargetMode="External"/><Relationship Id="rId2" Type="http://schemas.openxmlformats.org/officeDocument/2006/relationships/hyperlink" Target="https://www.thetimes.co.uk/article/sunday-times-rich-list-sir-james-dyson-singapore-brexit-wealth-wfkqccw97" TargetMode="External"/><Relationship Id="rId16" Type="http://schemas.openxmlformats.org/officeDocument/2006/relationships/hyperlink" Target="https://www.thetimes.co.uk/article/mikhail-fridman-net-worth-sunday-times-rich-list-rwzl0xg78" TargetMode="External"/><Relationship Id="rId1" Type="http://schemas.openxmlformats.org/officeDocument/2006/relationships/hyperlink" Target="https://www.thetimes.co.uk/article/sri-gopi-hinduja-net-worth-sunday-times-rich-list-zrjwlppj5" TargetMode="External"/><Relationship Id="rId6" Type="http://schemas.openxmlformats.org/officeDocument/2006/relationships/hyperlink" Target="https://www.thetimes.co.uk/article/lakshmi-mittal-net-worth-sunday-times-rich-list-tpv3vl628" TargetMode="External"/><Relationship Id="rId11" Type="http://schemas.openxmlformats.org/officeDocument/2006/relationships/hyperlink" Target="https://www.thetimes.co.uk/article/duke-of-westminster-net-worth-sunday-times-rich-list-bqbqpjlqf" TargetMode="External"/><Relationship Id="rId5" Type="http://schemas.openxmlformats.org/officeDocument/2006/relationships/hyperlink" Target="https://www.thetimes.co.uk/article/guillaume-pousaz-net-worth-sunday-times-rich-list-0dcf09vgv" TargetMode="External"/><Relationship Id="rId15" Type="http://schemas.openxmlformats.org/officeDocument/2006/relationships/hyperlink" Target="https://www.thetimes.co.uk/article/christoph-henkel-family-net-worth-sunday-times-rich-list-d535fhtkb" TargetMode="External"/><Relationship Id="rId10" Type="http://schemas.openxmlformats.org/officeDocument/2006/relationships/hyperlink" Target="https://www.thetimes.co.uk/article/alisher-usmanov-net-worth-sunday-times-rich-list-3bwsf09f6" TargetMode="External"/><Relationship Id="rId4" Type="http://schemas.openxmlformats.org/officeDocument/2006/relationships/hyperlink" Target="https://www.thetimes.co.uk/article/leonard-blavatnik-net-worth-sunday-times-rich-list-0q73bzjwk" TargetMode="External"/><Relationship Id="rId9" Type="http://schemas.openxmlformats.org/officeDocument/2006/relationships/hyperlink" Target="https://www.thetimes.co.uk/article/charlene-de-carvalho-heineken-net-worth-sunday-times-rich-list-w3s2bpw66" TargetMode="External"/><Relationship Id="rId14" Type="http://schemas.openxmlformats.org/officeDocument/2006/relationships/hyperlink" Target="https://www.thetimes.co.uk/article/john-fredriksen-family-net-worth-sunday-times-rich-list-k8gq6r3x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3"/>
  <sheetViews>
    <sheetView topLeftCell="D1" workbookViewId="0">
      <selection activeCell="E11" sqref="E11"/>
    </sheetView>
  </sheetViews>
  <sheetFormatPr defaultColWidth="28.5703125" defaultRowHeight="43.5" customHeight="1"/>
  <cols>
    <col min="8" max="8" width="17.140625" customWidth="1"/>
    <col min="9" max="9" width="22.140625" customWidth="1"/>
  </cols>
  <sheetData>
    <row r="1" spans="1:12" ht="43.5" customHeight="1">
      <c r="A1" t="s">
        <v>82</v>
      </c>
      <c r="F1" t="s">
        <v>72</v>
      </c>
      <c r="I1" t="s">
        <v>83</v>
      </c>
      <c r="L1">
        <f>1000000000/10000</f>
        <v>100000</v>
      </c>
    </row>
    <row r="2" spans="1:12" ht="43.5" customHeight="1" thickBot="1">
      <c r="C2" t="s">
        <v>60</v>
      </c>
      <c r="I2" t="s">
        <v>60</v>
      </c>
      <c r="J2" t="s">
        <v>85</v>
      </c>
    </row>
    <row r="3" spans="1:12" ht="43.5" customHeight="1" thickBot="1">
      <c r="A3" s="1" t="s">
        <v>0</v>
      </c>
      <c r="B3" s="2" t="s">
        <v>1</v>
      </c>
      <c r="C3" s="5">
        <v>28.472000000000001</v>
      </c>
      <c r="D3" s="1" t="s">
        <v>2</v>
      </c>
      <c r="F3" t="s">
        <v>73</v>
      </c>
      <c r="G3" s="9">
        <v>4300000</v>
      </c>
      <c r="I3" s="9">
        <f>Wireframe!H4*1000000000</f>
        <v>26641100000.000004</v>
      </c>
      <c r="J3">
        <f>I3/10000</f>
        <v>2664110.0000000005</v>
      </c>
    </row>
    <row r="4" spans="1:12" ht="43.5" customHeight="1" thickBot="1">
      <c r="A4" s="3" t="s">
        <v>3</v>
      </c>
      <c r="B4" s="4" t="s">
        <v>4</v>
      </c>
      <c r="C4" s="6">
        <v>23</v>
      </c>
      <c r="D4" s="3" t="s">
        <v>5</v>
      </c>
      <c r="F4" t="s">
        <v>74</v>
      </c>
      <c r="G4" s="9">
        <v>8100000</v>
      </c>
    </row>
    <row r="5" spans="1:12" ht="43.5" customHeight="1" thickBot="1">
      <c r="A5" s="1" t="s">
        <v>6</v>
      </c>
      <c r="B5" s="2" t="s">
        <v>7</v>
      </c>
      <c r="C5" s="5">
        <v>22.265000000000001</v>
      </c>
      <c r="D5" s="1" t="s">
        <v>8</v>
      </c>
      <c r="F5" t="s">
        <v>75</v>
      </c>
      <c r="G5" s="9">
        <v>2100000</v>
      </c>
    </row>
    <row r="6" spans="1:12" ht="43.5" customHeight="1" thickBot="1">
      <c r="A6" s="3" t="s">
        <v>9</v>
      </c>
      <c r="B6" s="4" t="s">
        <v>10</v>
      </c>
      <c r="C6" s="6">
        <v>20</v>
      </c>
      <c r="D6" s="3" t="s">
        <v>11</v>
      </c>
      <c r="F6" t="s">
        <v>87</v>
      </c>
      <c r="G6" s="9">
        <f>SUM(G3:G5)</f>
        <v>14500000</v>
      </c>
    </row>
    <row r="7" spans="1:12" ht="43.5" customHeight="1" thickBot="1">
      <c r="A7" s="1" t="s">
        <v>12</v>
      </c>
      <c r="B7" s="2" t="s">
        <v>13</v>
      </c>
      <c r="C7" s="5">
        <v>19.259</v>
      </c>
      <c r="D7" s="1" t="s">
        <v>14</v>
      </c>
    </row>
    <row r="8" spans="1:12" ht="43.5" customHeight="1" thickBot="1">
      <c r="A8" s="3" t="s">
        <v>15</v>
      </c>
      <c r="B8" s="4" t="s">
        <v>16</v>
      </c>
      <c r="C8" s="6">
        <v>17</v>
      </c>
      <c r="D8" s="3" t="s">
        <v>17</v>
      </c>
    </row>
    <row r="9" spans="1:12" ht="43.5" customHeight="1" thickBot="1">
      <c r="A9" s="1" t="s">
        <v>18</v>
      </c>
      <c r="B9" s="2" t="s">
        <v>19</v>
      </c>
      <c r="C9" s="5">
        <v>13.5</v>
      </c>
      <c r="D9" s="1" t="s">
        <v>20</v>
      </c>
      <c r="G9">
        <f>133000000000/10000</f>
        <v>13300000</v>
      </c>
    </row>
    <row r="10" spans="1:12" ht="43.5" customHeight="1" thickBot="1">
      <c r="A10" s="3" t="s">
        <v>21</v>
      </c>
      <c r="B10" s="4" t="s">
        <v>22</v>
      </c>
      <c r="C10" s="6">
        <v>12</v>
      </c>
      <c r="D10" s="3" t="s">
        <v>23</v>
      </c>
    </row>
    <row r="11" spans="1:12" ht="43.5" customHeight="1" thickBot="1">
      <c r="A11" s="1" t="s">
        <v>24</v>
      </c>
      <c r="B11" s="2" t="s">
        <v>25</v>
      </c>
      <c r="C11" s="5">
        <v>11.420999999999999</v>
      </c>
      <c r="D11" s="1" t="s">
        <v>26</v>
      </c>
    </row>
    <row r="12" spans="1:12" ht="43.5" customHeight="1" thickBot="1">
      <c r="A12" s="3" t="s">
        <v>27</v>
      </c>
      <c r="B12" s="3" t="s">
        <v>28</v>
      </c>
      <c r="C12" s="6">
        <v>10</v>
      </c>
      <c r="D12" s="3" t="s">
        <v>29</v>
      </c>
    </row>
    <row r="13" spans="1:12" ht="43.5" customHeight="1" thickBot="1">
      <c r="A13" s="1" t="s">
        <v>30</v>
      </c>
      <c r="B13" s="2" t="s">
        <v>31</v>
      </c>
      <c r="C13" s="5">
        <v>10</v>
      </c>
      <c r="D13" s="1" t="s">
        <v>32</v>
      </c>
    </row>
    <row r="14" spans="1:12" ht="43.5" customHeight="1" thickBot="1">
      <c r="A14" s="3" t="s">
        <v>33</v>
      </c>
      <c r="B14" s="4" t="s">
        <v>34</v>
      </c>
      <c r="C14" s="6">
        <v>9.7260000000000009</v>
      </c>
      <c r="D14" s="3" t="s">
        <v>35</v>
      </c>
    </row>
    <row r="15" spans="1:12" ht="43.5" customHeight="1" thickBot="1">
      <c r="A15" s="1" t="s">
        <v>36</v>
      </c>
      <c r="B15" s="1" t="s">
        <v>37</v>
      </c>
      <c r="C15" s="5">
        <v>9.6</v>
      </c>
      <c r="D15" s="1" t="s">
        <v>38</v>
      </c>
    </row>
    <row r="16" spans="1:12" ht="43.5" customHeight="1" thickBot="1">
      <c r="A16" s="3" t="s">
        <v>39</v>
      </c>
      <c r="B16" s="4" t="s">
        <v>40</v>
      </c>
      <c r="C16" s="6">
        <v>9.49</v>
      </c>
      <c r="D16" s="3" t="s">
        <v>41</v>
      </c>
    </row>
    <row r="17" spans="1:4" ht="43.5" customHeight="1" thickBot="1">
      <c r="A17" s="1" t="s">
        <v>42</v>
      </c>
      <c r="B17" s="1" t="s">
        <v>43</v>
      </c>
      <c r="C17" s="5">
        <v>9.1999999999999993</v>
      </c>
      <c r="D17" s="1" t="s">
        <v>44</v>
      </c>
    </row>
    <row r="18" spans="1:4" ht="43.5" customHeight="1" thickBot="1">
      <c r="A18" s="3" t="s">
        <v>45</v>
      </c>
      <c r="B18" s="4" t="s">
        <v>46</v>
      </c>
      <c r="C18" s="6">
        <v>8.6370000000000005</v>
      </c>
      <c r="D18" s="3" t="s">
        <v>47</v>
      </c>
    </row>
    <row r="19" spans="1:4" ht="43.5" customHeight="1" thickBot="1">
      <c r="A19" s="1" t="s">
        <v>48</v>
      </c>
      <c r="B19" s="2" t="s">
        <v>49</v>
      </c>
      <c r="C19" s="5">
        <v>8.3109999999999999</v>
      </c>
      <c r="D19" s="1" t="s">
        <v>50</v>
      </c>
    </row>
    <row r="20" spans="1:4" ht="43.5" customHeight="1" thickBot="1">
      <c r="A20" s="3" t="s">
        <v>51</v>
      </c>
      <c r="B20" s="4" t="s">
        <v>52</v>
      </c>
      <c r="C20" s="6">
        <v>8.3079999999999998</v>
      </c>
      <c r="D20" s="3" t="s">
        <v>53</v>
      </c>
    </row>
    <row r="21" spans="1:4" ht="43.5" customHeight="1" thickBot="1">
      <c r="A21" s="1" t="s">
        <v>54</v>
      </c>
      <c r="B21" s="2" t="s">
        <v>55</v>
      </c>
      <c r="C21" s="5">
        <v>8.2219999999999995</v>
      </c>
      <c r="D21" s="1" t="s">
        <v>56</v>
      </c>
    </row>
    <row r="22" spans="1:4" ht="43.5" customHeight="1">
      <c r="A22" s="3" t="s">
        <v>57</v>
      </c>
      <c r="B22" s="4" t="s">
        <v>58</v>
      </c>
      <c r="C22" s="6">
        <v>8</v>
      </c>
      <c r="D22" s="3" t="s">
        <v>59</v>
      </c>
    </row>
    <row r="23" spans="1:4" ht="43.5" customHeight="1">
      <c r="C23" s="7">
        <f>SUM(C3:C22)</f>
        <v>266.41099999999994</v>
      </c>
    </row>
  </sheetData>
  <hyperlinks>
    <hyperlink ref="B3" r:id="rId1" display="https://www.thetimes.co.uk/article/sri-gopi-hinduja-net-worth-sunday-times-rich-list-zrjwlppj5" xr:uid="{8896BF4B-FB48-4160-94C1-44A13E1AC7A1}"/>
    <hyperlink ref="B4" r:id="rId2" display="https://www.thetimes.co.uk/article/sunday-times-rich-list-sir-james-dyson-singapore-brexit-wealth-wfkqccw97" xr:uid="{3534D211-61DC-460F-8622-2A72D873BEBC}"/>
    <hyperlink ref="B5" r:id="rId3" display="https://www.thetimes.co.uk/article/david-simon-reuben-net-worth-sunday-times-rich-list-brj6fz2wz" xr:uid="{3E1ABD15-219F-45A1-99AF-57D3AAE32252}"/>
    <hyperlink ref="B6" r:id="rId4" display="https://www.thetimes.co.uk/article/leonard-blavatnik-net-worth-sunday-times-rich-list-0q73bzjwk" xr:uid="{F2567DF4-86B8-4734-B4E3-7AF08CDABFC8}"/>
    <hyperlink ref="B7" r:id="rId5" display="https://www.thetimes.co.uk/article/guillaume-pousaz-net-worth-sunday-times-rich-list-0dcf09vgv" xr:uid="{0CEA9EC5-8B4E-4E2E-B996-BE0BD1D72C24}"/>
    <hyperlink ref="B8" r:id="rId6" display="https://www.thetimes.co.uk/article/lakshmi-mittal-net-worth-sunday-times-rich-list-tpv3vl628" xr:uid="{7357CBBC-6E04-4536-98E4-22360987FE18}"/>
    <hyperlink ref="B9" r:id="rId7" display="https://www.thetimes.co.uk/article/weston-family-net-worth-sunday-times-rich-list-8ln50rjp6" xr:uid="{DBE22D5A-D24A-4C6B-B88C-1EA594B16ED0}"/>
    <hyperlink ref="B10" r:id="rId8" display="https://www.thetimes.co.uk/article/kirsten-jorn-rausing-net-worth-sunday-times-rich-list-gsgxd5d3t" xr:uid="{A79A747B-9743-40D4-9B4A-91F4A9F05947}"/>
    <hyperlink ref="B11" r:id="rId9" display="https://www.thetimes.co.uk/article/charlene-de-carvalho-heineken-net-worth-sunday-times-rich-list-w3s2bpw66" xr:uid="{69F375D4-753F-4EAF-8A37-1CC7B2882D40}"/>
    <hyperlink ref="B13" r:id="rId10" display="https://www.thetimes.co.uk/article/alisher-usmanov-net-worth-sunday-times-rich-list-3bwsf09f6" xr:uid="{13FFD181-675F-418B-8621-B2749E93AEED}"/>
    <hyperlink ref="B14" r:id="rId11" display="https://www.thetimes.co.uk/article/duke-of-westminster-net-worth-sunday-times-rich-list-bqbqpjlqf" xr:uid="{E73A2075-0291-45EE-80F5-BC3F6901C82C}"/>
    <hyperlink ref="B16" r:id="rId12" display="https://www.thetimes.co.uk/article/marit-lisbet-sigrid-hans-rausing-net-worth-sunday-times-rich-list-t5xf3w2dn" xr:uid="{ACEDA7BA-5846-4A63-9EF3-5609F33DF2E5}"/>
    <hyperlink ref="B18" r:id="rId13" display="https://www.thetimes.co.uk/article/denise-john-peter-coates-net-worth-sunday-times-rich-list-h6pjwxwlt" xr:uid="{37F4D118-ADA6-441E-AA75-8940A7F3586D}"/>
    <hyperlink ref="B19" r:id="rId14" display="https://www.thetimes.co.uk/article/john-fredriksen-family-net-worth-sunday-times-rich-list-k8gq6r3xg" xr:uid="{98F22842-7A5F-4917-89F4-B9AD1DADF763}"/>
    <hyperlink ref="B20" r:id="rId15" display="https://www.thetimes.co.uk/article/christoph-henkel-family-net-worth-sunday-times-rich-list-d535fhtkb" xr:uid="{9FAB7803-498E-4FFC-9571-529E6C001BE6}"/>
    <hyperlink ref="B21" r:id="rId16" display="https://www.thetimes.co.uk/article/mikhail-fridman-net-worth-sunday-times-rich-list-rwzl0xg78" xr:uid="{E6F3F5C3-48B8-485C-B8DF-2FB3F392E261}"/>
    <hyperlink ref="B22" r:id="rId17" display="https://www.thetimes.co.uk/article/moshe-kantor-net-worth-sunday-times-rich-list-zd3dp8jpm" xr:uid="{C190C601-BCBF-41FF-8E96-50210E51C7B7}"/>
  </hyperlinks>
  <pageMargins left="0.7" right="0.7" top="0.75" bottom="0.75" header="0.3" footer="0.3"/>
  <pageSetup orientation="portrait"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DC09-D52C-42BB-87FC-5200B18005AC}">
  <sheetPr codeName="Sheet2"/>
  <dimension ref="A1:L36"/>
  <sheetViews>
    <sheetView tabSelected="1" workbookViewId="0">
      <selection activeCell="H4" sqref="H4"/>
    </sheetView>
  </sheetViews>
  <sheetFormatPr defaultColWidth="24.85546875" defaultRowHeight="15"/>
  <cols>
    <col min="1" max="1" width="33.5703125" customWidth="1"/>
    <col min="2" max="2" width="19.5703125" customWidth="1"/>
    <col min="3" max="3" width="34.28515625" customWidth="1"/>
    <col min="4" max="4" width="13.5703125" customWidth="1"/>
    <col min="5" max="5" width="14.5703125" customWidth="1"/>
    <col min="6" max="6" width="33.5703125" customWidth="1"/>
    <col min="7" max="7" width="7" style="13" customWidth="1"/>
    <col min="8" max="8" width="15.5703125" style="13" customWidth="1"/>
    <col min="9" max="9" width="7" style="13" customWidth="1"/>
    <col min="10" max="12" width="33.5703125" customWidth="1"/>
  </cols>
  <sheetData>
    <row r="1" spans="1:12" ht="21">
      <c r="A1" s="19" t="s">
        <v>61</v>
      </c>
      <c r="B1" s="19"/>
      <c r="C1" s="19"/>
      <c r="D1" s="19"/>
      <c r="E1" s="19"/>
      <c r="F1" s="19"/>
      <c r="G1" s="19"/>
      <c r="H1" s="19"/>
      <c r="I1" s="19"/>
      <c r="J1" s="19"/>
      <c r="K1" s="19"/>
      <c r="L1" s="19"/>
    </row>
    <row r="2" spans="1:12" ht="18.75">
      <c r="A2" s="20" t="s">
        <v>76</v>
      </c>
      <c r="B2" s="20"/>
      <c r="C2" s="20"/>
      <c r="D2" s="20"/>
      <c r="E2" s="20"/>
      <c r="F2" s="20"/>
      <c r="G2" s="22" t="s">
        <v>81</v>
      </c>
      <c r="H2" s="22"/>
      <c r="I2" s="22"/>
      <c r="J2" s="21" t="s">
        <v>77</v>
      </c>
      <c r="K2" s="21"/>
      <c r="L2" s="21"/>
    </row>
    <row r="3" spans="1:12">
      <c r="A3" s="14" t="s">
        <v>62</v>
      </c>
      <c r="B3" s="14" t="s">
        <v>69</v>
      </c>
      <c r="C3" s="14" t="s">
        <v>95</v>
      </c>
      <c r="D3" s="14" t="s">
        <v>91</v>
      </c>
      <c r="E3" s="14" t="s">
        <v>90</v>
      </c>
      <c r="F3" s="14" t="s">
        <v>86</v>
      </c>
      <c r="G3" s="15" t="s">
        <v>71</v>
      </c>
      <c r="H3" s="15">
        <v>10</v>
      </c>
      <c r="I3" s="15" t="s">
        <v>71</v>
      </c>
      <c r="J3" s="12" t="s">
        <v>78</v>
      </c>
      <c r="K3" s="12" t="s">
        <v>79</v>
      </c>
      <c r="L3" s="12" t="s">
        <v>80</v>
      </c>
    </row>
    <row r="4" spans="1:12">
      <c r="A4" s="11" t="s">
        <v>63</v>
      </c>
      <c r="B4" s="16">
        <f>SUM(B5:B24)</f>
        <v>239.76989999999998</v>
      </c>
      <c r="C4" s="9">
        <f ca="1">(B4*1000000000)*Helpers!$B$5/365*Helpers!$B$9</f>
        <v>8723249.563041091</v>
      </c>
      <c r="D4" s="9">
        <f ca="1">C4/Helpers!$B$11</f>
        <v>43.616247815205455</v>
      </c>
      <c r="E4" s="9">
        <f ca="1">C4/Helpers!$B$10</f>
        <v>8723.2495630410904</v>
      </c>
      <c r="F4" s="17">
        <f ca="1">(B4*1000000000)*Helpers!$B$4/365*Helpers!$B$9</f>
        <v>9268603942.3712578</v>
      </c>
      <c r="H4" s="16">
        <f>SUM(H5:H24)</f>
        <v>26.641100000000005</v>
      </c>
      <c r="J4" s="11" t="s">
        <v>84</v>
      </c>
      <c r="K4" s="17">
        <f>SUM(K5:K7)</f>
        <v>11835890</v>
      </c>
      <c r="L4" s="18">
        <f>(Data!G6-Wireframe!K4)/Data!G6*100</f>
        <v>18.373172413793103</v>
      </c>
    </row>
    <row r="5" spans="1:12">
      <c r="A5" t="str">
        <f>Data!B3</f>
        <v>Sri and Gopi Hinduja and family</v>
      </c>
      <c r="B5" s="10">
        <f>IF(($H$3=0),Data!C3,Data!C3*((100-$H$3)/100))</f>
        <v>25.6248</v>
      </c>
      <c r="C5" s="9">
        <f ca="1">(B5*1000000000)*Helpers!$B$5/365*Helpers!$B$9</f>
        <v>932275.17466961208</v>
      </c>
      <c r="D5" s="9">
        <f ca="1">C5/Helpers!$B$11</f>
        <v>4.6613758733480601</v>
      </c>
      <c r="E5" s="9">
        <f ca="1">C5/Helpers!$B$10</f>
        <v>932.27517466961206</v>
      </c>
      <c r="F5" s="9">
        <f ca="1">(B5*1000000000)*Helpers!$B$4/365*Helpers!$B$9</f>
        <v>990558540.92809439</v>
      </c>
      <c r="H5" s="13">
        <f>Data!C3*(($H$3)/100)</f>
        <v>2.8472000000000004</v>
      </c>
      <c r="J5" t="str">
        <f>Data!F3</f>
        <v>Children</v>
      </c>
      <c r="K5" s="9">
        <f>(Data!G3-(Data!$J$3/3))</f>
        <v>3411963.333333333</v>
      </c>
    </row>
    <row r="6" spans="1:12">
      <c r="A6" t="str">
        <f>Data!B4</f>
        <v>Sir James Dyson and family</v>
      </c>
      <c r="B6" s="10">
        <f>IF(($H$3=0),Data!C4,Data!C4*((100-$H$3)/100))</f>
        <v>20.7</v>
      </c>
      <c r="C6" s="9">
        <f ca="1">(B6*1000000000)*Helpers!$B$5/365*Helpers!$B$9</f>
        <v>753102.31165359216</v>
      </c>
      <c r="D6" s="9">
        <f ca="1">C6/Helpers!$B$11</f>
        <v>3.7655115582679608</v>
      </c>
      <c r="E6" s="9">
        <f ca="1">C6/Helpers!$B$10</f>
        <v>753.10231165359221</v>
      </c>
      <c r="F6" s="9">
        <f ca="1">(B6*1000000000)*Helpers!$B$4/365*Helpers!$B$9</f>
        <v>800184266.69521523</v>
      </c>
      <c r="H6" s="13">
        <f>Data!C4*(($H$3)/100)</f>
        <v>2.3000000000000003</v>
      </c>
      <c r="J6" t="str">
        <f>Data!F4</f>
        <v>Working age adults</v>
      </c>
      <c r="K6" s="9">
        <f>(Data!G4-(Data!$J$3/3))</f>
        <v>7211963.333333333</v>
      </c>
    </row>
    <row r="7" spans="1:12">
      <c r="A7" t="str">
        <f>Data!B5</f>
        <v>David and Simon Reuben and family</v>
      </c>
      <c r="B7" s="10">
        <f>IF(($H$3=0),Data!C5,Data!C5*((100-$H$3)/100))</f>
        <v>20.038500000000003</v>
      </c>
      <c r="C7" s="9">
        <f ca="1">(B7*1000000000)*Helpers!$B$5/365*Helpers!$B$9</f>
        <v>729035.78125944489</v>
      </c>
      <c r="D7" s="9">
        <f ca="1">C7/Helpers!$B$11</f>
        <v>3.6451789062972244</v>
      </c>
      <c r="E7" s="9">
        <f ca="1">C7/Helpers!$B$10</f>
        <v>729.03578125944489</v>
      </c>
      <c r="F7" s="9">
        <f ca="1">(B7*1000000000)*Helpers!$B$4/365*Helpers!$B$9</f>
        <v>774613160.78125966</v>
      </c>
      <c r="H7" s="13">
        <f>Data!C5*(($H$3)/100)</f>
        <v>2.2265000000000001</v>
      </c>
      <c r="J7" t="str">
        <f>Data!F5</f>
        <v>Pension age adults</v>
      </c>
      <c r="K7" s="9">
        <f>(Data!G5-(Data!$J$3/3))</f>
        <v>1211963.333333333</v>
      </c>
    </row>
    <row r="8" spans="1:12">
      <c r="A8" t="str">
        <f>Data!B6</f>
        <v>Sir Leonard Blavatnik</v>
      </c>
      <c r="B8" s="10">
        <f>IF(($H$3=0),Data!C6,Data!C6*((100-$H$3)/100))</f>
        <v>18</v>
      </c>
      <c r="C8" s="9">
        <f ca="1">(B8*1000000000)*Helpers!$B$5/365*Helpers!$B$9</f>
        <v>654871.57535094977</v>
      </c>
      <c r="D8" s="9">
        <f ca="1">C8/Helpers!$B$11</f>
        <v>3.274357876754749</v>
      </c>
      <c r="E8" s="9">
        <f ca="1">C8/Helpers!$B$10</f>
        <v>654.8715753509498</v>
      </c>
      <c r="F8" s="9">
        <f ca="1">(B8*1000000000)*Helpers!$B$4/365*Helpers!$B$9</f>
        <v>695812405.82192624</v>
      </c>
      <c r="H8" s="13">
        <f>Data!C6*(($H$3)/100)</f>
        <v>2</v>
      </c>
    </row>
    <row r="9" spans="1:12">
      <c r="A9" t="str">
        <f>Data!B7</f>
        <v>Guillaume Pousaz</v>
      </c>
      <c r="B9" s="10">
        <f>IF(($H$3=0),Data!C7,Data!C7*((100-$H$3)/100))</f>
        <v>17.333100000000002</v>
      </c>
      <c r="C9" s="9">
        <f ca="1">(B9*1000000000)*Helpers!$B$5/365*Helpers!$B$9</f>
        <v>630608.58348419704</v>
      </c>
      <c r="D9" s="9">
        <f ca="1">C9/Helpers!$B$11</f>
        <v>3.1530429174209851</v>
      </c>
      <c r="E9" s="9">
        <f ca="1">C9/Helpers!$B$10</f>
        <v>630.60858348419708</v>
      </c>
      <c r="F9" s="9">
        <f ca="1">(B9*1000000000)*Helpers!$B$4/365*Helpers!$B$9</f>
        <v>670032556.18622386</v>
      </c>
      <c r="H9" s="13">
        <f>Data!C7*(($H$3)/100)</f>
        <v>1.9259000000000002</v>
      </c>
    </row>
    <row r="10" spans="1:12">
      <c r="A10" t="str">
        <f>Data!B8</f>
        <v>Lakshmi Mittal and family</v>
      </c>
      <c r="B10" s="10">
        <f>IF(($H$3=0),Data!C8,Data!C8*((100-$H$3)/100))</f>
        <v>15.3</v>
      </c>
      <c r="C10" s="9">
        <f ca="1">(B10*1000000000)*Helpers!$B$5/365*Helpers!$B$9</f>
        <v>556640.83904830727</v>
      </c>
      <c r="D10" s="9">
        <f ca="1">C10/Helpers!$B$11</f>
        <v>2.7832041952415363</v>
      </c>
      <c r="E10" s="9">
        <f ca="1">C10/Helpers!$B$10</f>
        <v>556.64083904830727</v>
      </c>
      <c r="F10" s="9">
        <f ca="1">(B10*1000000000)*Helpers!$B$4/365*Helpers!$B$9</f>
        <v>591440544.94863737</v>
      </c>
      <c r="H10" s="13">
        <f>Data!C8*(($H$3)/100)</f>
        <v>1.7000000000000002</v>
      </c>
    </row>
    <row r="11" spans="1:12">
      <c r="A11" t="str">
        <f>Data!B9</f>
        <v>Guy, George, Alannah and Galen Weston and family</v>
      </c>
      <c r="B11" s="10">
        <f>IF(($H$3=0),Data!C9,Data!C9*((100-$H$3)/100))</f>
        <v>12.15</v>
      </c>
      <c r="C11" s="9">
        <f ca="1">(B11*1000000000)*Helpers!$B$5/365*Helpers!$B$9</f>
        <v>442038.31336189102</v>
      </c>
      <c r="D11" s="9">
        <f ca="1">C11/Helpers!$B$11</f>
        <v>2.2101915668094549</v>
      </c>
      <c r="E11" s="9">
        <f ca="1">C11/Helpers!$B$10</f>
        <v>442.03831336189103</v>
      </c>
      <c r="F11" s="9">
        <f ca="1">(B11*1000000000)*Helpers!$B$4/365*Helpers!$B$9</f>
        <v>469673373.92980021</v>
      </c>
      <c r="H11" s="13">
        <f>Data!C9*(($H$3)/100)</f>
        <v>1.35</v>
      </c>
    </row>
    <row r="12" spans="1:12">
      <c r="A12" t="str">
        <f>Data!B10</f>
        <v>Kirsten and Jorn Rausing</v>
      </c>
      <c r="B12" s="10">
        <f>IF(($H$3=0),Data!C10,Data!C10*((100-$H$3)/100))</f>
        <v>10.8</v>
      </c>
      <c r="C12" s="9">
        <f ca="1">(B12*1000000000)*Helpers!$B$5/365*Helpers!$B$9</f>
        <v>392922.94521056983</v>
      </c>
      <c r="D12" s="9">
        <f ca="1">C12/Helpers!$B$11</f>
        <v>1.964614726052849</v>
      </c>
      <c r="E12" s="9">
        <f ca="1">C12/Helpers!$B$10</f>
        <v>392.92294521056982</v>
      </c>
      <c r="F12" s="9">
        <f ca="1">(B12*1000000000)*Helpers!$B$4/365*Helpers!$B$9</f>
        <v>417487443.49315572</v>
      </c>
      <c r="H12" s="13">
        <f>Data!C10*(($H$3)/100)</f>
        <v>1.2000000000000002</v>
      </c>
    </row>
    <row r="13" spans="1:12">
      <c r="A13" t="str">
        <f>Data!B11</f>
        <v>Charlene de Carvalho-Heineken and Michel de Carvalho</v>
      </c>
      <c r="B13" s="10">
        <f>IF(($H$3=0),Data!C11,Data!C11*((100-$H$3)/100))</f>
        <v>10.2789</v>
      </c>
      <c r="C13" s="9">
        <f ca="1">(B13*1000000000)*Helpers!$B$5/365*Helpers!$B$9</f>
        <v>373964.41310415982</v>
      </c>
      <c r="D13" s="9">
        <f ca="1">C13/Helpers!$B$11</f>
        <v>1.8698220655207991</v>
      </c>
      <c r="E13" s="9">
        <f ca="1">C13/Helpers!$B$10</f>
        <v>373.9644131041598</v>
      </c>
      <c r="F13" s="9">
        <f ca="1">(B13*1000000000)*Helpers!$B$4/365*Helpers!$B$9</f>
        <v>397343674.34461099</v>
      </c>
      <c r="H13" s="13">
        <f>Data!C11*(($H$3)/100)</f>
        <v>1.1420999999999999</v>
      </c>
    </row>
    <row r="14" spans="1:12">
      <c r="A14" t="str">
        <f>Data!B12</f>
        <v>Michael Platt</v>
      </c>
      <c r="B14" s="10">
        <f>IF(($H$3=0),Data!C12,Data!C12*((100-$H$3)/100))</f>
        <v>9</v>
      </c>
      <c r="C14" s="9">
        <f ca="1">(B14*1000000000)*Helpers!$B$5/365*Helpers!$B$9</f>
        <v>327435.78767547489</v>
      </c>
      <c r="D14" s="9">
        <f ca="1">C14/Helpers!$B$11</f>
        <v>1.6371789383773745</v>
      </c>
      <c r="E14" s="9">
        <f ca="1">C14/Helpers!$B$10</f>
        <v>327.4357876754749</v>
      </c>
      <c r="F14" s="9">
        <f ca="1">(B14*1000000000)*Helpers!$B$4/365*Helpers!$B$9</f>
        <v>347906202.91096312</v>
      </c>
      <c r="H14" s="13">
        <f>Data!C12*(($H$3)/100)</f>
        <v>1</v>
      </c>
    </row>
    <row r="15" spans="1:12">
      <c r="A15" t="str">
        <f>Data!B13</f>
        <v>Alisher Usmanov</v>
      </c>
      <c r="B15" s="10">
        <f>IF(($H$3=0),Data!C13,Data!C13*((100-$H$3)/100))</f>
        <v>9</v>
      </c>
      <c r="C15" s="9">
        <f ca="1">(B15*1000000000)*Helpers!$B$5/365*Helpers!$B$9</f>
        <v>327435.78767547489</v>
      </c>
      <c r="D15" s="9">
        <f ca="1">C15/Helpers!$B$11</f>
        <v>1.6371789383773745</v>
      </c>
      <c r="E15" s="9">
        <f ca="1">C15/Helpers!$B$10</f>
        <v>327.4357876754749</v>
      </c>
      <c r="F15" s="9">
        <f ca="1">(B15*1000000000)*Helpers!$B$4/365*Helpers!$B$9</f>
        <v>347906202.91096312</v>
      </c>
      <c r="H15" s="13">
        <f>Data!C13*(($H$3)/100)</f>
        <v>1</v>
      </c>
    </row>
    <row r="16" spans="1:12">
      <c r="A16" t="str">
        <f>Data!B14</f>
        <v>The Duke of Westminster and the Grosvenor family</v>
      </c>
      <c r="B16" s="10">
        <f>IF(($H$3=0),Data!C14,Data!C14*((100-$H$3)/100))</f>
        <v>8.753400000000001</v>
      </c>
      <c r="C16" s="9">
        <f ca="1">(B16*1000000000)*Helpers!$B$5/365*Helpers!$B$9</f>
        <v>318464.04709316691</v>
      </c>
      <c r="D16" s="9">
        <f ca="1">C16/Helpers!$B$11</f>
        <v>1.5923202354658346</v>
      </c>
      <c r="E16" s="9">
        <f ca="1">C16/Helpers!$B$10</f>
        <v>318.46404709316693</v>
      </c>
      <c r="F16" s="9">
        <f ca="1">(B16*1000000000)*Helpers!$B$4/365*Helpers!$B$9</f>
        <v>338373572.95120287</v>
      </c>
      <c r="H16" s="13">
        <f>Data!C14*(($H$3)/100)</f>
        <v>0.97260000000000013</v>
      </c>
    </row>
    <row r="17" spans="1:12">
      <c r="A17" t="str">
        <f>Data!B15</f>
        <v>Barnaby and Merlin Swire and family</v>
      </c>
      <c r="B17" s="10">
        <f>IF(($H$3=0),Data!C15,Data!C15*((100-$H$3)/100))</f>
        <v>8.64</v>
      </c>
      <c r="C17" s="9">
        <f ca="1">(B17*1000000000)*Helpers!$B$5/365*Helpers!$B$9</f>
        <v>314338.35616845585</v>
      </c>
      <c r="D17" s="9">
        <f ca="1">C17/Helpers!$B$11</f>
        <v>1.5716917808422792</v>
      </c>
      <c r="E17" s="9">
        <f ca="1">C17/Helpers!$B$10</f>
        <v>314.33835616845585</v>
      </c>
      <c r="F17" s="9">
        <f ca="1">(B17*1000000000)*Helpers!$B$4/365*Helpers!$B$9</f>
        <v>333989954.79452461</v>
      </c>
      <c r="H17" s="13">
        <f>Data!C15*(($H$3)/100)</f>
        <v>0.96</v>
      </c>
    </row>
    <row r="18" spans="1:12">
      <c r="A18" t="str">
        <f>Data!B16</f>
        <v>Marit, Lisbet, Sigrid and Hans Rausing</v>
      </c>
      <c r="B18" s="10">
        <f>IF(($H$3=0),Data!C16,Data!C16*((100-$H$3)/100))</f>
        <v>8.5410000000000004</v>
      </c>
      <c r="C18" s="9">
        <f ca="1">(B18*1000000000)*Helpers!$B$5/365*Helpers!$B$9</f>
        <v>310736.56250402564</v>
      </c>
      <c r="D18" s="9">
        <f ca="1">C18/Helpers!$B$11</f>
        <v>1.5536828125201283</v>
      </c>
      <c r="E18" s="9">
        <f ca="1">C18/Helpers!$B$10</f>
        <v>310.73656250402564</v>
      </c>
      <c r="F18" s="9">
        <f ca="1">(B18*1000000000)*Helpers!$B$4/365*Helpers!$B$9</f>
        <v>330162986.56250399</v>
      </c>
      <c r="H18" s="13">
        <f>Data!C16*(($H$3)/100)</f>
        <v>0.94900000000000007</v>
      </c>
    </row>
    <row r="19" spans="1:12">
      <c r="A19" t="str">
        <f>Data!B17</f>
        <v>Anil Agarwal</v>
      </c>
      <c r="B19" s="10">
        <f>IF(($H$3=0),Data!C17,Data!C17*((100-$H$3)/100))</f>
        <v>8.2799999999999994</v>
      </c>
      <c r="C19" s="9">
        <f ca="1">(B19*1000000000)*Helpers!$B$5/365*Helpers!$B$9</f>
        <v>301240.92466143682</v>
      </c>
      <c r="D19" s="9">
        <f ca="1">C19/Helpers!$B$11</f>
        <v>1.5062046233071842</v>
      </c>
      <c r="E19" s="9">
        <f ca="1">C19/Helpers!$B$10</f>
        <v>301.24092466143679</v>
      </c>
      <c r="F19" s="9">
        <f ca="1">(B19*1000000000)*Helpers!$B$4/365*Helpers!$B$9</f>
        <v>320073706.67808604</v>
      </c>
      <c r="H19" s="13">
        <f>Data!C17*(($H$3)/100)</f>
        <v>0.91999999999999993</v>
      </c>
    </row>
    <row r="20" spans="1:12">
      <c r="A20" t="str">
        <f>Data!B18</f>
        <v>Denise, John and Peter Coates</v>
      </c>
      <c r="B20" s="10">
        <f>IF(($H$3=0),Data!C18,Data!C18*((100-$H$3)/100))</f>
        <v>7.7733000000000008</v>
      </c>
      <c r="C20" s="9">
        <f ca="1">(B20*1000000000)*Helpers!$B$5/365*Helpers!$B$9</f>
        <v>282806.28981530765</v>
      </c>
      <c r="D20" s="9">
        <f ca="1">C20/Helpers!$B$11</f>
        <v>1.4140314490765382</v>
      </c>
      <c r="E20" s="9">
        <f ca="1">C20/Helpers!$B$10</f>
        <v>282.80628981530765</v>
      </c>
      <c r="F20" s="9">
        <f ca="1">(B20*1000000000)*Helpers!$B$4/365*Helpers!$B$9</f>
        <v>300486587.4541989</v>
      </c>
      <c r="H20" s="13">
        <f>Data!C18*(($H$3)/100)</f>
        <v>0.86370000000000013</v>
      </c>
    </row>
    <row r="21" spans="1:12">
      <c r="A21" t="str">
        <f>Data!B19</f>
        <v>John Fredriksen and family</v>
      </c>
      <c r="B21" s="10">
        <f>IF(($H$3=0),Data!C19,Data!C19*((100-$H$3)/100))</f>
        <v>7.4798999999999998</v>
      </c>
      <c r="C21" s="9">
        <f ca="1">(B21*1000000000)*Helpers!$B$5/365*Helpers!$B$9</f>
        <v>272131.88313708716</v>
      </c>
      <c r="D21" s="9">
        <f ca="1">C21/Helpers!$B$11</f>
        <v>1.3606594156854359</v>
      </c>
      <c r="E21" s="9">
        <f ca="1">C21/Helpers!$B$10</f>
        <v>272.13188313708719</v>
      </c>
      <c r="F21" s="9">
        <f ca="1">(B21*1000000000)*Helpers!$B$4/365*Helpers!$B$9</f>
        <v>289144845.23930144</v>
      </c>
      <c r="H21" s="13">
        <f>Data!C19*(($H$3)/100)</f>
        <v>0.83110000000000006</v>
      </c>
    </row>
    <row r="22" spans="1:12">
      <c r="A22" t="str">
        <f>Data!B20</f>
        <v>Christoph Henkel and family</v>
      </c>
      <c r="B22" s="10">
        <f>IF(($H$3=0),Data!C20,Data!C20*((100-$H$3)/100))</f>
        <v>7.4771999999999998</v>
      </c>
      <c r="C22" s="9">
        <f ca="1">(B22*1000000000)*Helpers!$B$5/365*Helpers!$B$9</f>
        <v>272033.65240078449</v>
      </c>
      <c r="D22" s="9">
        <f ca="1">C22/Helpers!$B$11</f>
        <v>1.3601682620039224</v>
      </c>
      <c r="E22" s="9">
        <f ca="1">C22/Helpers!$B$10</f>
        <v>272.03365240078449</v>
      </c>
      <c r="F22" s="9">
        <f ca="1">(B22*1000000000)*Helpers!$B$4/365*Helpers!$B$9</f>
        <v>289040473.37842822</v>
      </c>
      <c r="H22" s="13">
        <f>Data!C20*(($H$3)/100)</f>
        <v>0.83079999999999998</v>
      </c>
    </row>
    <row r="23" spans="1:12">
      <c r="A23" t="str">
        <f>Data!B21</f>
        <v>Mikhail Fridman</v>
      </c>
      <c r="B23" s="10">
        <f>IF(($H$3=0),Data!C21,Data!C21*((100-$H$3)/100))</f>
        <v>7.3997999999999999</v>
      </c>
      <c r="C23" s="9">
        <f ca="1">(B23*1000000000)*Helpers!$B$5/365*Helpers!$B$9</f>
        <v>269217.7046267754</v>
      </c>
      <c r="D23" s="9">
        <f ca="1">C23/Helpers!$B$11</f>
        <v>1.3460885231338771</v>
      </c>
      <c r="E23" s="9">
        <f ca="1">C23/Helpers!$B$10</f>
        <v>269.2177046267754</v>
      </c>
      <c r="F23" s="9">
        <f ca="1">(B23*1000000000)*Helpers!$B$4/365*Helpers!$B$9</f>
        <v>286048480.03339392</v>
      </c>
      <c r="H23" s="13">
        <f>Data!C21*(($H$3)/100)</f>
        <v>0.82220000000000004</v>
      </c>
    </row>
    <row r="24" spans="1:12">
      <c r="A24" t="str">
        <f>Data!B22</f>
        <v>Moshe Kantor</v>
      </c>
      <c r="B24" s="10">
        <f>IF(($H$3=0),Data!C22,Data!C22*((100-$H$3)/100))</f>
        <v>7.2</v>
      </c>
      <c r="C24" s="9">
        <f ca="1">(B24*1000000000)*Helpers!$B$5/365*Helpers!$B$9</f>
        <v>261948.63014037989</v>
      </c>
      <c r="D24" s="9">
        <f ca="1">C24/Helpers!$B$11</f>
        <v>1.3097431507018995</v>
      </c>
      <c r="E24" s="9">
        <f ca="1">C24/Helpers!$B$10</f>
        <v>261.94863014037986</v>
      </c>
      <c r="F24" s="9">
        <f ca="1">(B24*1000000000)*Helpers!$B$4/365*Helpers!$B$9</f>
        <v>278324962.32877052</v>
      </c>
      <c r="H24" s="13">
        <f>Data!C22*(($H$3)/100)</f>
        <v>0.8</v>
      </c>
    </row>
    <row r="29" spans="1:12" ht="255">
      <c r="A29" s="23" t="s">
        <v>94</v>
      </c>
      <c r="B29" s="23" t="s">
        <v>94</v>
      </c>
      <c r="C29" s="23" t="s">
        <v>96</v>
      </c>
      <c r="D29" s="23" t="s">
        <v>99</v>
      </c>
      <c r="E29" s="23" t="s">
        <v>99</v>
      </c>
      <c r="F29" s="23" t="s">
        <v>96</v>
      </c>
      <c r="G29" s="24"/>
      <c r="H29" s="24" t="s">
        <v>100</v>
      </c>
      <c r="J29" s="23" t="s">
        <v>97</v>
      </c>
      <c r="K29" s="23" t="s">
        <v>98</v>
      </c>
      <c r="L29" s="23" t="s">
        <v>101</v>
      </c>
    </row>
    <row r="30" spans="1:12">
      <c r="A30" s="23"/>
      <c r="B30" s="23"/>
      <c r="C30" s="23"/>
      <c r="D30" s="23"/>
      <c r="E30" s="23"/>
      <c r="F30" s="23"/>
      <c r="G30" s="24"/>
      <c r="H30" s="24"/>
    </row>
    <row r="31" spans="1:12">
      <c r="A31" s="23"/>
      <c r="B31" s="23"/>
      <c r="C31" s="23"/>
      <c r="D31" s="23"/>
      <c r="E31" s="23"/>
      <c r="F31" s="23"/>
      <c r="G31" s="24"/>
      <c r="H31" s="24"/>
    </row>
    <row r="32" spans="1:12">
      <c r="A32" s="23"/>
      <c r="B32" s="23"/>
      <c r="C32" s="23"/>
      <c r="D32" s="23"/>
      <c r="E32" s="23"/>
      <c r="F32" s="23"/>
      <c r="G32" s="24"/>
      <c r="H32" s="24"/>
    </row>
    <row r="33" spans="1:8">
      <c r="A33" s="23"/>
      <c r="B33" s="23"/>
      <c r="C33" s="23"/>
      <c r="D33" s="23"/>
      <c r="E33" s="23"/>
      <c r="F33" s="23"/>
      <c r="G33" s="24"/>
      <c r="H33" s="24"/>
    </row>
    <row r="34" spans="1:8">
      <c r="A34" s="23"/>
      <c r="B34" s="23"/>
      <c r="C34" s="23"/>
      <c r="D34" s="23"/>
      <c r="E34" s="23"/>
      <c r="F34" s="23"/>
      <c r="G34" s="24"/>
      <c r="H34" s="24"/>
    </row>
    <row r="35" spans="1:8">
      <c r="A35" s="23"/>
      <c r="B35" s="23"/>
      <c r="C35" s="23"/>
      <c r="D35" s="23"/>
      <c r="E35" s="23"/>
      <c r="F35" s="23"/>
      <c r="G35" s="24"/>
      <c r="H35" s="24"/>
    </row>
    <row r="36" spans="1:8">
      <c r="A36" s="23"/>
      <c r="B36" s="23"/>
      <c r="C36" s="23"/>
      <c r="D36" s="23"/>
      <c r="E36" s="23"/>
      <c r="F36" s="23"/>
      <c r="G36" s="24"/>
      <c r="H36" s="24"/>
    </row>
  </sheetData>
  <mergeCells count="4">
    <mergeCell ref="A1:L1"/>
    <mergeCell ref="A2:F2"/>
    <mergeCell ref="J2:L2"/>
    <mergeCell ref="G2:I2"/>
  </mergeCells>
  <dataValidations count="1">
    <dataValidation type="list" allowBlank="1" showInputMessage="1" showErrorMessage="1" sqref="H3" xr:uid="{4663A38F-0B02-449E-B384-87A75393E96C}">
      <formula1>"0,1,2,3,4,5,10,15,20,25,50,75,90"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5E068-11AC-4B1D-8246-206798203B40}">
  <sheetPr codeName="Sheet3"/>
  <dimension ref="A1:B11"/>
  <sheetViews>
    <sheetView workbookViewId="0">
      <selection activeCell="B4" sqref="B4"/>
    </sheetView>
  </sheetViews>
  <sheetFormatPr defaultRowHeight="15"/>
  <cols>
    <col min="1" max="1" width="25.5703125" customWidth="1"/>
    <col min="2" max="2" width="18" customWidth="1"/>
  </cols>
  <sheetData>
    <row r="1" spans="1:2">
      <c r="A1" t="s">
        <v>64</v>
      </c>
      <c r="B1" s="8">
        <v>44927</v>
      </c>
    </row>
    <row r="2" spans="1:2">
      <c r="A2" t="s">
        <v>65</v>
      </c>
      <c r="B2" s="8">
        <f ca="1">NOW()</f>
        <v>45195.752939814818</v>
      </c>
    </row>
    <row r="3" spans="1:2">
      <c r="A3" t="s">
        <v>65</v>
      </c>
      <c r="B3" s="8">
        <v>45195.5</v>
      </c>
    </row>
    <row r="4" spans="1:2">
      <c r="A4" t="s">
        <v>88</v>
      </c>
      <c r="B4">
        <f ca="1">B2-B1</f>
        <v>268.75293981481809</v>
      </c>
    </row>
    <row r="5" spans="1:2">
      <c r="A5" t="s">
        <v>89</v>
      </c>
      <c r="B5">
        <f ca="1">B2-B3</f>
        <v>0.25293981481809169</v>
      </c>
    </row>
    <row r="6" spans="1:2">
      <c r="A6" t="s">
        <v>66</v>
      </c>
      <c r="B6">
        <f>24*60*60</f>
        <v>86400</v>
      </c>
    </row>
    <row r="7" spans="1:2">
      <c r="A7" t="s">
        <v>67</v>
      </c>
      <c r="B7">
        <f ca="1">B6*B4</f>
        <v>23220254.000000283</v>
      </c>
    </row>
    <row r="8" spans="1:2">
      <c r="A8" t="s">
        <v>70</v>
      </c>
      <c r="B8">
        <v>1</v>
      </c>
    </row>
    <row r="9" spans="1:2">
      <c r="A9" t="s">
        <v>68</v>
      </c>
      <c r="B9">
        <v>5.2499999999999998E-2</v>
      </c>
    </row>
    <row r="10" spans="1:2">
      <c r="A10" t="s">
        <v>92</v>
      </c>
      <c r="B10">
        <v>1000</v>
      </c>
    </row>
    <row r="11" spans="1:2">
      <c r="A11" t="s">
        <v>93</v>
      </c>
      <c r="B11">
        <v>200000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Wireframe</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 Latham</dc:creator>
  <cp:lastModifiedBy>Phil Latham</cp:lastModifiedBy>
  <dcterms:created xsi:type="dcterms:W3CDTF">2015-06-05T18:19:34Z</dcterms:created>
  <dcterms:modified xsi:type="dcterms:W3CDTF">2023-09-26T17:04:15Z</dcterms:modified>
</cp:coreProperties>
</file>